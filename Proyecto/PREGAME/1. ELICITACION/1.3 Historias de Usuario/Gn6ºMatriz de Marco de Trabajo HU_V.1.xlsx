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13_ncr:1_{6E2B13EB-D512-47C8-99A6-015FD23570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ato descripción HU" sheetId="1" r:id="rId1"/>
    <sheet name="Historia de Usuario" sheetId="2" r:id="rId2"/>
  </sheets>
  <definedNames>
    <definedName name="_xlnm.Print_Area" localSheetId="0">'Formato descripción HU'!$B$3:$O$13</definedName>
    <definedName name="_xlnm.Print_Area" localSheetId="1">'Historia de Usuario'!$B$1:$P$25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<sst xmlns="http://schemas.openxmlformats.org/spreadsheetml/2006/main" count="102" uniqueCount="76">
  <si>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</si>
  <si>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</si>
  <si>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</si>
  <si>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</si>
  <si>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</si>
  <si>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</si>
  <si>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</si>
  <si>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</si>
  <si>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</si>
  <si>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</si>
  <si>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</si>
  <si>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</si>
  <si>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</si>
  <si>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</si>
  <si>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</si>
  <si>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</si>
  <si>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</si>
  <si>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</si>
  <si>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</si>
  <si>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</si>
  <si>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</si>
  <si>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</si>
  <si>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>REQ005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</si>
  <si>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</si>
  <si>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</si>
  <si>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</si>
  <si>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</si>
  <si>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</si>
  <si>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</si>
  <si>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</si>
  <si>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</si>
  <si>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</si>
  <si>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</si>
  <si>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</si>
  <si>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</si>
  <si>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</si>
  <si>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</si>
  <si>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ABR 26 - AGO 26</t>
  </si>
  <si>
    <t>Juan Socasi</t>
  </si>
  <si>
    <t>Vicente Sanchez</t>
  </si>
  <si>
    <t>No hay forma de vizuallizar todos los productos que ofrece el negocio</t>
  </si>
  <si>
    <t xml:space="preserve">Implementar una interfaz grafica que muestre todos los productos del negocio </t>
  </si>
  <si>
    <t>No hay forma de ver la informacion especifica de cada producto</t>
  </si>
  <si>
    <t>Implementar una boton a cada producto que rediriga a una ventana con la informacion especifica del mismo</t>
  </si>
  <si>
    <t>No hay forma de buscar un producto</t>
  </si>
  <si>
    <t>Implementar un buscador</t>
  </si>
  <si>
    <t>No hay forma rapida de generar un recibo</t>
  </si>
  <si>
    <t>No hay forma en que el cliente pueda hacer una solicitud al negocio</t>
  </si>
  <si>
    <t>Solicitar los datos personales del cliente  y enviar su solicitud al correo del administrador</t>
  </si>
  <si>
    <t>Soicitar los datos personales del cliente y generar automaticamente un recibo</t>
  </si>
  <si>
    <t>Para entregar un comprobante de compra profesional al cliente al instante.</t>
  </si>
  <si>
    <t>Diseñar una pantalla principal que muestre fotos, nombres y cantidades disponibles de todos los accesorios.</t>
  </si>
  <si>
    <t>Diseñar un formato de ticket que tome los datos de la venta y los convierta en un archivo listo para imprimir.</t>
  </si>
  <si>
    <t>Escribir un producto conocido en el buscador y verificar que aparezca en pantalla.</t>
  </si>
  <si>
    <t>Hacer clic en un producto y revisar que la información mostrada coincida con el artículo real.</t>
  </si>
  <si>
    <t>Llenar el formulario como cliente y verificar que el dueño reciba un correo con los datos.</t>
  </si>
  <si>
    <t>Realizar una venta de prueba y confirmar que se genera un documento con el total correcto.</t>
  </si>
  <si>
    <t>Buscador por nombre</t>
  </si>
  <si>
    <t>Formulario de pedidos y contacto.</t>
  </si>
  <si>
    <t>Generador de recibos de venta.</t>
  </si>
  <si>
    <t>Despliega una ventana emergente o secundaria con las especificaciones del producto, evitando que la pantalla principal se llene de texto innecesario.</t>
  </si>
  <si>
    <t>Procesa los datos de los productos seleccionados y los datos del cliente para crear un documento legal o informativo que respalda la transacción comercial.</t>
  </si>
  <si>
    <t>Administrador y Cliente</t>
  </si>
  <si>
    <t>Catalogo visual de productos.</t>
  </si>
  <si>
    <t>Entrar a la pagina y confirmar que se ven todos los productos registrados.</t>
  </si>
  <si>
    <t>Ficha tecnica de accesorios</t>
  </si>
  <si>
    <t>Crear una barra de texto donde se pueda escribir el nombre del repuesto o el modelo del auto.</t>
  </si>
  <si>
    <t>Agregar un botón de "ver mas" que abra una ficha completa con la descripcion detallada del accesorio.</t>
  </si>
  <si>
    <t>Crear un formulario sencillo donde el cliente deje su nombre, telefono y el pedido que desea realizar.</t>
  </si>
  <si>
    <t>Para que el administrador sepa que tiene en bodega y qué le falta por vender.</t>
  </si>
  <si>
    <t>Para encontrar rapidamente una pieza específica sin tener que buscar en toda la lista.</t>
  </si>
  <si>
    <t>Para conocer detalles tecnicos como compatibilidad de años, marca o material antes de venderlo.</t>
  </si>
  <si>
    <t>Para que el cliente pueda apartar productos o pedir una cotizacion formal de forma remota.</t>
  </si>
  <si>
    <t>Funciona como el panel principal donde se muestra toda la oferta del negocio</t>
  </si>
  <si>
    <t>Filtra la base de datos completa para mostrar solo los productos que coinciden con el texto ingresado, optimizando la atención al cliente.</t>
  </si>
  <si>
    <t>Actua como una forma de comunicacion directa entre el cliente y el negocio registrando los datos del cliente y su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</si>
</sst>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sz val="10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5" fontId="5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6" fillId="5" borderId="6" xfId="0" applyFont="1" applyFill="1" applyBorder="1"/>
    <xf numFmtId="0" fontId="9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6" fillId="5" borderId="10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8" xfId="0" applyFont="1" applyFill="1" applyBorder="1"/>
    <xf numFmtId="0" fontId="6" fillId="5" borderId="29" xfId="0" applyFont="1" applyFill="1" applyBorder="1"/>
    <xf numFmtId="0" fontId="6" fillId="5" borderId="30" xfId="0" applyFont="1" applyFill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6" fillId="0" borderId="0" xfId="0" applyNumberFormat="1" applyFont="1"/>
    <xf numFmtId="0" fontId="19" fillId="3" borderId="4" xfId="0" applyFont="1" applyFill="1" applyBorder="1" applyAlignment="1">
      <alignment horizontal="center" vertical="center" wrapText="1"/>
    </xf>
    <xf numFmtId="49" fontId="19" fillId="3" borderId="4" xfId="0" applyNumberFormat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49" fontId="10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49" fontId="10" fillId="3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/>
    <xf numFmtId="0" fontId="3" fillId="0" borderId="21" xfId="0" applyFont="1" applyBorder="1"/>
    <xf numFmtId="0" fontId="10" fillId="3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0" fillId="3" borderId="12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5" fillId="8" borderId="1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10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49" fontId="10" fillId="0" borderId="0" xfId="0" applyNumberFormat="1" applyFont="1" applyAlignment="1">
      <alignment wrapText="1"/>
    </xf>
    <xf numFmtId="0" fontId="6" fillId="0" borderId="0" xfId="0" applyFont="1"/>
    <xf numFmtId="0" fontId="18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314325</xdr:colOff>
      <xdr:row>8</xdr:row>
      <xdr:rowOff>257175</xdr:rowOff>
    </xdr:from>
    <xdr:to>
      <xdr:col>14</xdr:col>
      <xdr:colOff>647700</xdr:colOff>
      <xdr:row>12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164F43-D2C2-2045-7ACE-623D062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015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showGridLines="0" view="pageBreakPreview" topLeftCell="A6" zoomScale="60" zoomScaleNormal="70" workbookViewId="0">
      <selection activeCell="K6" sqref="K6"/>
    </sheetView>
  </sheetViews>
  <sheetFormatPr baseColWidth="10" defaultColWidth="12.75" defaultRowHeight="15" customHeight="1" x14ac:dyDescent="0.2"/>
  <cols>
    <col min="1" max="1" width="4.75" customWidth="1"/>
    <col min="2" max="2" width="9.625" customWidth="1"/>
    <col min="3" max="3" width="25.25" customWidth="1"/>
    <col min="4" max="4" width="31.25" customWidth="1"/>
    <col min="5" max="5" width="20.75" customWidth="1"/>
    <col min="6" max="6" width="13.25" customWidth="1"/>
    <col min="7" max="7" width="39.7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109" t="s">
        <v>0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9.9" customHeight="1" x14ac:dyDescent="0.3">
      <c r="A6" s="5"/>
      <c r="B6" s="6" t="s">
        <v>15</v>
      </c>
      <c r="C6" s="6" t="s">
        <v>40</v>
      </c>
      <c r="D6" s="6" t="s">
        <v>41</v>
      </c>
      <c r="E6" s="6" t="s">
        <v>69</v>
      </c>
      <c r="F6" s="6" t="s">
        <v>62</v>
      </c>
      <c r="G6" s="6" t="s">
        <v>51</v>
      </c>
      <c r="H6" s="6" t="s">
        <v>38</v>
      </c>
      <c r="I6" s="6">
        <v>6</v>
      </c>
      <c r="J6" s="59" t="s">
        <v>37</v>
      </c>
      <c r="K6" s="6" t="s">
        <v>16</v>
      </c>
      <c r="L6" s="6" t="s">
        <v>21</v>
      </c>
      <c r="M6" s="7" t="s">
        <v>64</v>
      </c>
      <c r="N6" s="6" t="s">
        <v>73</v>
      </c>
      <c r="O6" s="8" t="s">
        <v>63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09.9" customHeight="1" x14ac:dyDescent="0.3">
      <c r="A7" s="5"/>
      <c r="B7" s="6" t="s">
        <v>18</v>
      </c>
      <c r="C7" s="6" t="s">
        <v>44</v>
      </c>
      <c r="D7" s="6" t="s">
        <v>45</v>
      </c>
      <c r="E7" s="6" t="s">
        <v>70</v>
      </c>
      <c r="F7" s="6" t="s">
        <v>62</v>
      </c>
      <c r="G7" s="6" t="s">
        <v>66</v>
      </c>
      <c r="H7" s="6" t="s">
        <v>38</v>
      </c>
      <c r="I7" s="6">
        <v>4</v>
      </c>
      <c r="J7" s="59" t="s">
        <v>37</v>
      </c>
      <c r="K7" s="6" t="s">
        <v>16</v>
      </c>
      <c r="L7" s="6" t="s">
        <v>21</v>
      </c>
      <c r="M7" s="7" t="s">
        <v>53</v>
      </c>
      <c r="N7" s="6" t="s">
        <v>74</v>
      </c>
      <c r="O7" s="8" t="s">
        <v>57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09.9" customHeight="1" x14ac:dyDescent="0.3">
      <c r="A8" s="5"/>
      <c r="B8" s="6" t="s">
        <v>19</v>
      </c>
      <c r="C8" s="6" t="s">
        <v>42</v>
      </c>
      <c r="D8" s="6" t="s">
        <v>43</v>
      </c>
      <c r="E8" s="6" t="s">
        <v>71</v>
      </c>
      <c r="F8" s="6" t="s">
        <v>62</v>
      </c>
      <c r="G8" s="6" t="s">
        <v>67</v>
      </c>
      <c r="H8" s="6" t="s">
        <v>39</v>
      </c>
      <c r="I8" s="6">
        <v>6</v>
      </c>
      <c r="J8" s="59" t="s">
        <v>37</v>
      </c>
      <c r="K8" s="6" t="s">
        <v>16</v>
      </c>
      <c r="L8" s="6" t="s">
        <v>21</v>
      </c>
      <c r="M8" s="7" t="s">
        <v>54</v>
      </c>
      <c r="N8" s="6" t="s">
        <v>60</v>
      </c>
      <c r="O8" s="8" t="s">
        <v>65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09.9" customHeight="1" x14ac:dyDescent="0.3">
      <c r="A9" s="5"/>
      <c r="B9" s="6" t="s">
        <v>20</v>
      </c>
      <c r="C9" s="6" t="s">
        <v>47</v>
      </c>
      <c r="D9" s="6" t="s">
        <v>48</v>
      </c>
      <c r="E9" s="6" t="s">
        <v>72</v>
      </c>
      <c r="F9" s="6" t="s">
        <v>62</v>
      </c>
      <c r="G9" s="6" t="s">
        <v>68</v>
      </c>
      <c r="H9" s="6" t="s">
        <v>39</v>
      </c>
      <c r="I9" s="6">
        <v>4</v>
      </c>
      <c r="J9" s="59" t="s">
        <v>37</v>
      </c>
      <c r="K9" s="6" t="s">
        <v>16</v>
      </c>
      <c r="L9" s="6" t="s">
        <v>21</v>
      </c>
      <c r="M9" s="7" t="s">
        <v>55</v>
      </c>
      <c r="N9" s="6" t="s">
        <v>75</v>
      </c>
      <c r="O9" s="8" t="s">
        <v>58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9.9" customHeight="1" x14ac:dyDescent="0.3">
      <c r="A10" s="5"/>
      <c r="B10" s="6" t="s">
        <v>22</v>
      </c>
      <c r="C10" s="6" t="s">
        <v>46</v>
      </c>
      <c r="D10" s="60" t="s">
        <v>49</v>
      </c>
      <c r="E10" s="6" t="s">
        <v>50</v>
      </c>
      <c r="F10" s="6" t="s">
        <v>62</v>
      </c>
      <c r="G10" s="6" t="s">
        <v>52</v>
      </c>
      <c r="H10" s="6" t="s">
        <v>38</v>
      </c>
      <c r="I10" s="6">
        <v>4</v>
      </c>
      <c r="J10" s="59" t="s">
        <v>37</v>
      </c>
      <c r="K10" s="6" t="s">
        <v>16</v>
      </c>
      <c r="L10" s="6" t="s">
        <v>21</v>
      </c>
      <c r="M10" s="7" t="s">
        <v>56</v>
      </c>
      <c r="N10" s="6" t="s">
        <v>61</v>
      </c>
      <c r="O10" s="8" t="s">
        <v>59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9.9" customHeight="1" x14ac:dyDescent="0.3">
      <c r="A11" s="5"/>
      <c r="B11" s="6"/>
      <c r="C11" s="56"/>
      <c r="D11" s="56"/>
      <c r="E11" s="56"/>
      <c r="F11" s="56"/>
      <c r="G11" s="56"/>
      <c r="H11" s="56"/>
      <c r="I11" s="6"/>
      <c r="J11" s="59"/>
      <c r="K11" s="6"/>
      <c r="L11" s="6"/>
      <c r="M11" s="57"/>
      <c r="N11" s="56"/>
      <c r="O11" s="5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9.9" customHeight="1" x14ac:dyDescent="0.3">
      <c r="A12" s="5"/>
      <c r="B12" s="6"/>
      <c r="C12" s="6"/>
      <c r="D12" s="11"/>
      <c r="E12" s="6"/>
      <c r="F12" s="6"/>
      <c r="G12" s="11"/>
      <c r="H12" s="6"/>
      <c r="I12" s="6"/>
      <c r="J12" s="10"/>
      <c r="K12" s="6"/>
      <c r="L12" s="6"/>
      <c r="M12" s="6"/>
      <c r="N12" s="6"/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9.9" customHeight="1" x14ac:dyDescent="0.3">
      <c r="A13" s="5"/>
      <c r="B13" s="6"/>
      <c r="C13" s="6"/>
      <c r="D13" s="11"/>
      <c r="E13" s="6"/>
      <c r="F13" s="6"/>
      <c r="G13" s="11"/>
      <c r="H13" s="6"/>
      <c r="I13" s="6"/>
      <c r="J13" s="10"/>
      <c r="K13" s="6"/>
      <c r="L13" s="6"/>
      <c r="M13" s="6"/>
      <c r="N13" s="6"/>
      <c r="O13" s="1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0.5" customHeight="1" x14ac:dyDescent="0.3">
      <c r="A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1.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8.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3">
      <c r="A18" s="5"/>
      <c r="B18" s="13"/>
      <c r="C18" s="14"/>
      <c r="D18" s="14"/>
      <c r="E18" s="5"/>
      <c r="F18" s="14"/>
      <c r="G18" s="14"/>
      <c r="H18" s="14"/>
      <c r="I18" s="15"/>
      <c r="J18" s="16"/>
      <c r="K18" s="15"/>
      <c r="L18" s="15"/>
      <c r="M18" s="14"/>
      <c r="N18" s="14"/>
      <c r="O18" s="1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3">
      <c r="A19" s="5"/>
      <c r="B19" s="13"/>
      <c r="C19" s="14"/>
      <c r="D19" s="14"/>
      <c r="E19" s="14"/>
      <c r="F19" s="14"/>
      <c r="G19" s="14"/>
      <c r="H19" s="14"/>
      <c r="I19" s="15"/>
      <c r="J19" s="16"/>
      <c r="K19" s="15"/>
      <c r="L19" s="15"/>
      <c r="M19" s="14"/>
      <c r="N19" s="18"/>
      <c r="O19" s="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3">
      <c r="A20" s="5"/>
      <c r="B20" s="13"/>
      <c r="C20" s="14"/>
      <c r="D20" s="14"/>
      <c r="E20" s="5"/>
      <c r="F20" s="14"/>
      <c r="G20" s="14"/>
      <c r="H20" s="14"/>
      <c r="I20" s="15"/>
      <c r="J20" s="16"/>
      <c r="K20" s="15"/>
      <c r="L20" s="15"/>
      <c r="M20" s="14"/>
      <c r="N20" s="14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3">
      <c r="A21" s="5"/>
      <c r="B21" s="13"/>
      <c r="C21" s="14"/>
      <c r="D21" s="14"/>
      <c r="E21" s="14"/>
      <c r="F21" s="14"/>
      <c r="G21" s="14"/>
      <c r="H21" s="14"/>
      <c r="I21" s="15"/>
      <c r="J21" s="16"/>
      <c r="K21" s="15"/>
      <c r="L21" s="15"/>
      <c r="M21" s="18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4" t="s">
        <v>24</v>
      </c>
      <c r="N22" s="14"/>
      <c r="O22" s="1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5"/>
      <c r="B23" s="5"/>
      <c r="C23" s="5"/>
      <c r="D23" s="5"/>
      <c r="E23" s="5"/>
      <c r="F23" s="5"/>
      <c r="G23" s="5"/>
      <c r="H23" s="5"/>
      <c r="I23" s="20"/>
      <c r="J23" s="20"/>
      <c r="K23" s="21"/>
      <c r="L23" s="20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5"/>
      <c r="C24" s="5"/>
      <c r="D24" s="5"/>
      <c r="E24" s="5"/>
      <c r="F24" s="5"/>
      <c r="G24" s="5"/>
      <c r="H24" s="5"/>
      <c r="I24" s="20"/>
      <c r="J24" s="20"/>
      <c r="K24" s="21"/>
      <c r="L24" s="20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5"/>
      <c r="C25" s="5"/>
      <c r="D25" s="5"/>
      <c r="E25" s="5"/>
      <c r="F25" s="5"/>
      <c r="G25" s="5"/>
      <c r="H25" s="18"/>
      <c r="I25" s="20"/>
      <c r="J25" s="20"/>
      <c r="K25" s="21"/>
      <c r="L25" s="20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5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20"/>
      <c r="J27" s="20"/>
      <c r="K27" s="22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5"/>
      <c r="I28" s="20"/>
      <c r="J28" s="20"/>
      <c r="K28" s="22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20"/>
      <c r="J29" s="20"/>
      <c r="K29" s="21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20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20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5"/>
      <c r="D32" s="5"/>
      <c r="E32" s="5"/>
      <c r="F32" s="5"/>
      <c r="G32" s="5"/>
      <c r="H32" s="5"/>
      <c r="I32" s="20"/>
      <c r="J32" s="5"/>
      <c r="K32" s="21" t="s">
        <v>16</v>
      </c>
      <c r="L32" s="21" t="s">
        <v>21</v>
      </c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5"/>
      <c r="B33" s="5"/>
      <c r="C33" s="5"/>
      <c r="D33" s="5"/>
      <c r="E33" s="5"/>
      <c r="F33" s="5"/>
      <c r="G33" s="5"/>
      <c r="H33" s="5"/>
      <c r="I33" s="20"/>
      <c r="J33" s="5"/>
      <c r="K33" s="21" t="s">
        <v>23</v>
      </c>
      <c r="L33" s="21" t="s">
        <v>17</v>
      </c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"/>
      <c r="B34" s="5"/>
      <c r="C34" s="5"/>
      <c r="D34" s="5"/>
      <c r="E34" s="5"/>
      <c r="F34" s="5"/>
      <c r="G34" s="5"/>
      <c r="H34" s="5"/>
      <c r="I34" s="20"/>
      <c r="J34" s="5"/>
      <c r="K34" s="21" t="s">
        <v>25</v>
      </c>
      <c r="L34" s="21" t="s">
        <v>26</v>
      </c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5"/>
      <c r="B35" s="5"/>
      <c r="C35" s="5"/>
      <c r="D35" s="5"/>
      <c r="E35" s="5"/>
      <c r="F35" s="5"/>
      <c r="G35" s="5"/>
      <c r="H35" s="5"/>
      <c r="I35" s="20"/>
      <c r="J35" s="5"/>
      <c r="K35" s="21"/>
      <c r="L35" s="21" t="s">
        <v>27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5"/>
      <c r="B36" s="5"/>
      <c r="C36" s="5"/>
      <c r="D36" s="5"/>
      <c r="E36" s="5"/>
      <c r="F36" s="5"/>
      <c r="G36" s="5"/>
      <c r="H36" s="5"/>
      <c r="I36" s="20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5"/>
      <c r="B37" s="5"/>
      <c r="C37" s="5"/>
      <c r="D37" s="5"/>
      <c r="E37" s="5"/>
      <c r="F37" s="5"/>
      <c r="G37" s="5"/>
      <c r="H37" s="5"/>
      <c r="I37" s="20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20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20"/>
      <c r="J40" s="20"/>
      <c r="K40" s="21"/>
      <c r="L40" s="20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20"/>
      <c r="J41" s="20"/>
      <c r="K41" s="21"/>
      <c r="L41" s="20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20"/>
      <c r="J42" s="20"/>
      <c r="K42" s="21"/>
      <c r="L42" s="20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">
    <mergeCell ref="B3:O3"/>
  </mergeCells>
  <conditionalFormatting sqref="K6:K9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14">
    <cfRule type="colorScale" priority="3">
      <colorScale>
        <cfvo type="min"/>
        <cfvo type="max"/>
        <color rgb="FF57BB8A"/>
        <color rgb="FFFFFFFF"/>
      </colorScale>
    </cfRule>
  </conditionalFormatting>
  <conditionalFormatting sqref="L9">
    <cfRule type="colorScale" priority="4">
      <colorScale>
        <cfvo type="min"/>
        <cfvo type="max"/>
        <color rgb="FF57BB8A"/>
        <color rgb="FFFFFFFF"/>
      </colorScale>
    </cfRule>
  </conditionalFormatting>
  <conditionalFormatting sqref="L10">
    <cfRule type="colorScale" priority="1">
      <colorScale>
        <cfvo type="min"/>
        <cfvo type="max"/>
        <color rgb="FF57BB8A"/>
        <color rgb="FFFFFFFF"/>
      </colorScale>
    </cfRule>
  </conditionalFormatting>
  <conditionalFormatting sqref="L12">
    <cfRule type="colorScale" priority="5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L6:L13" xr:uid="{00000000-0002-0000-0000-000000000000}">
      <formula1>$L$32:$L$35</formula1>
    </dataValidation>
    <dataValidation type="list" allowBlank="1" showErrorMessage="1" sqref="K6:K13" xr:uid="{00000000-0002-0000-0000-000001000000}">
      <formula1>$K$32:$K$34</formula1>
    </dataValidation>
    <dataValidation type="custom" allowBlank="1" showDropDown="1" sqref="J6:J13" xr:uid="{00000000-0002-0000-0000-000002000000}">
      <formula1>OR(NOT(ISERROR(DATEVALUE(J6))), AND(ISNUMBER(J6), LEFT(CELL("format", J6))="D"))</formula1>
    </dataValidation>
    <dataValidation type="list" allowBlank="1" showErrorMessage="1" sqref="K15:L22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abSelected="1" view="pageBreakPreview" zoomScale="60" zoomScaleNormal="100" workbookViewId="0">
      <selection activeCell="W15" sqref="W15"/>
    </sheetView>
  </sheetViews>
  <sheetFormatPr baseColWidth="10" defaultColWidth="12.75" defaultRowHeight="15" customHeight="1" x14ac:dyDescent="0.2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23"/>
      <c r="D4" s="23"/>
      <c r="E4" s="23"/>
      <c r="F4" s="24"/>
    </row>
    <row r="5" spans="1:26" hidden="1" x14ac:dyDescent="0.25">
      <c r="C5" s="23"/>
      <c r="D5" s="23"/>
      <c r="E5" s="23"/>
      <c r="F5" s="24"/>
    </row>
    <row r="6" spans="1:26" ht="39.75" customHeight="1" x14ac:dyDescent="0.2">
      <c r="B6" s="97" t="s">
        <v>28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5"/>
    </row>
    <row r="7" spans="1:26" ht="9.75" customHeight="1" x14ac:dyDescent="0.2">
      <c r="A7" s="25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9.75" customHeight="1" x14ac:dyDescent="0.25">
      <c r="B8" s="27"/>
      <c r="C8" s="28"/>
      <c r="D8" s="28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1"/>
      <c r="Q8" s="25"/>
    </row>
    <row r="9" spans="1:26" ht="30" customHeight="1" x14ac:dyDescent="0.2">
      <c r="B9" s="32"/>
      <c r="C9" s="33" t="s">
        <v>1</v>
      </c>
      <c r="D9" s="34"/>
      <c r="E9" s="94" t="s">
        <v>29</v>
      </c>
      <c r="F9" s="95"/>
      <c r="G9" s="34"/>
      <c r="H9" s="94" t="s">
        <v>11</v>
      </c>
      <c r="I9" s="95"/>
      <c r="J9" s="35"/>
      <c r="K9" s="35"/>
      <c r="L9" s="35"/>
      <c r="M9" s="35"/>
      <c r="N9" s="35"/>
      <c r="O9" s="35"/>
      <c r="P9" s="36"/>
      <c r="Q9" s="25"/>
    </row>
    <row r="10" spans="1:26" ht="30" customHeight="1" x14ac:dyDescent="0.2">
      <c r="B10" s="32"/>
      <c r="C10" s="37" t="s">
        <v>22</v>
      </c>
      <c r="D10" s="38"/>
      <c r="E10" s="96" t="str">
        <f>VLOOKUP(C10,'Formato descripción HU'!B6:O22,5,0)</f>
        <v>Administrador y Cliente</v>
      </c>
      <c r="F10" s="95"/>
      <c r="G10" s="39"/>
      <c r="H10" s="96" t="str">
        <f>VLOOKUP(C10,'Formato descripción HU'!B6:O22,11,0)</f>
        <v>No iniciado</v>
      </c>
      <c r="I10" s="95"/>
      <c r="J10" s="39"/>
      <c r="K10" s="35"/>
      <c r="L10" s="35"/>
      <c r="M10" s="35"/>
      <c r="N10" s="35"/>
      <c r="O10" s="35"/>
      <c r="P10" s="36"/>
      <c r="Q10" s="25"/>
    </row>
    <row r="11" spans="1:26" ht="9.75" customHeight="1" x14ac:dyDescent="0.2">
      <c r="A11" s="25"/>
      <c r="B11" s="32"/>
      <c r="C11" s="40"/>
      <c r="D11" s="38"/>
      <c r="E11" s="41"/>
      <c r="F11" s="41"/>
      <c r="G11" s="39"/>
      <c r="H11" s="41"/>
      <c r="I11" s="41"/>
      <c r="J11" s="39"/>
      <c r="K11" s="41"/>
      <c r="L11" s="41"/>
      <c r="M11" s="35"/>
      <c r="N11" s="41"/>
      <c r="O11" s="41"/>
      <c r="P11" s="36"/>
      <c r="Q11" s="25"/>
      <c r="R11" s="25"/>
      <c r="T11" s="25"/>
      <c r="U11" s="25"/>
      <c r="V11" s="25"/>
      <c r="W11" s="25"/>
      <c r="X11" s="25"/>
      <c r="Y11" s="25"/>
      <c r="Z11" s="25"/>
    </row>
    <row r="12" spans="1:26" ht="30" customHeight="1" x14ac:dyDescent="0.2">
      <c r="A12" s="25"/>
      <c r="B12" s="32"/>
      <c r="C12" s="33" t="s">
        <v>30</v>
      </c>
      <c r="D12" s="38"/>
      <c r="E12" s="94" t="s">
        <v>10</v>
      </c>
      <c r="F12" s="95"/>
      <c r="G12" s="39"/>
      <c r="H12" s="94" t="s">
        <v>31</v>
      </c>
      <c r="I12" s="95"/>
      <c r="J12" s="39"/>
      <c r="K12" s="41"/>
      <c r="L12" s="41"/>
      <c r="M12" s="35"/>
      <c r="N12" s="41"/>
      <c r="O12" s="41"/>
      <c r="P12" s="36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0" customHeight="1" x14ac:dyDescent="0.2">
      <c r="A13" s="25"/>
      <c r="B13" s="32"/>
      <c r="C13" s="37">
        <f>VLOOKUP('Historia de Usuario'!C10,'Formato descripción HU'!B6:O22,8,0)</f>
        <v>4</v>
      </c>
      <c r="D13" s="38"/>
      <c r="E13" s="96" t="str">
        <f>VLOOKUP(C10,'Formato descripción HU'!B6:O22,10,0)</f>
        <v>Alta</v>
      </c>
      <c r="F13" s="95"/>
      <c r="G13" s="39"/>
      <c r="H13" s="96" t="str">
        <f>VLOOKUP(C10,'Formato descripción HU'!B6:O22,7,0)</f>
        <v>Juan Socasi</v>
      </c>
      <c r="I13" s="95"/>
      <c r="J13" s="39"/>
      <c r="K13" s="41"/>
      <c r="L13" s="41"/>
      <c r="M13" s="35"/>
      <c r="N13" s="41"/>
      <c r="O13" s="41"/>
      <c r="P13" s="36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9.75" customHeight="1" x14ac:dyDescent="0.2">
      <c r="A14" s="25"/>
      <c r="B14" s="32"/>
      <c r="C14" s="35"/>
      <c r="D14" s="38"/>
      <c r="E14" s="35"/>
      <c r="F14" s="35"/>
      <c r="G14" s="39"/>
      <c r="H14" s="39"/>
      <c r="I14" s="35"/>
      <c r="J14" s="35"/>
      <c r="K14" s="35"/>
      <c r="L14" s="35"/>
      <c r="M14" s="35"/>
      <c r="N14" s="35"/>
      <c r="O14" s="35"/>
      <c r="P14" s="3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9.5" customHeight="1" x14ac:dyDescent="0.2">
      <c r="A15" s="25"/>
      <c r="B15" s="32"/>
      <c r="C15" s="83" t="s">
        <v>32</v>
      </c>
      <c r="D15" s="81" t="str">
        <f>VLOOKUP(C10,'Formato descripción HU'!B6:O22,3,0)</f>
        <v>Soicitar los datos personales del cliente y generar automaticamente un recibo</v>
      </c>
      <c r="E15" s="73"/>
      <c r="F15" s="42"/>
      <c r="G15" s="83" t="s">
        <v>33</v>
      </c>
      <c r="H15" s="81" t="str">
        <f>VLOOKUP(C10,'Formato descripción HU'!B6:O22,4,0)</f>
        <v>Para entregar un comprobante de compra profesional al cliente al instante.</v>
      </c>
      <c r="I15" s="79"/>
      <c r="J15" s="73"/>
      <c r="K15" s="42"/>
      <c r="L15" s="83" t="s">
        <v>34</v>
      </c>
      <c r="M15" s="86" t="str">
        <f>VLOOKUP(C10,'Formato descripción HU'!B6:O22,6,0)</f>
        <v>Diseñar un formato de ticket que tome los datos de la venta y los convierta en un archivo listo para imprimir.</v>
      </c>
      <c r="N15" s="79"/>
      <c r="O15" s="73"/>
      <c r="P15" s="3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9.5" customHeight="1" x14ac:dyDescent="0.2">
      <c r="A16" s="25"/>
      <c r="B16" s="32"/>
      <c r="C16" s="84"/>
      <c r="D16" s="74"/>
      <c r="E16" s="75"/>
      <c r="F16" s="42"/>
      <c r="G16" s="84"/>
      <c r="H16" s="74"/>
      <c r="I16" s="62"/>
      <c r="J16" s="75"/>
      <c r="K16" s="42"/>
      <c r="L16" s="84"/>
      <c r="M16" s="74"/>
      <c r="N16" s="62"/>
      <c r="O16" s="75"/>
      <c r="P16" s="36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9.5" customHeight="1" x14ac:dyDescent="0.2">
      <c r="A17" s="25"/>
      <c r="B17" s="32"/>
      <c r="C17" s="85"/>
      <c r="D17" s="76"/>
      <c r="E17" s="77"/>
      <c r="F17" s="42"/>
      <c r="G17" s="85"/>
      <c r="H17" s="76"/>
      <c r="I17" s="80"/>
      <c r="J17" s="77"/>
      <c r="K17" s="42"/>
      <c r="L17" s="85"/>
      <c r="M17" s="76"/>
      <c r="N17" s="80"/>
      <c r="O17" s="77"/>
      <c r="P17" s="36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9.75" customHeight="1" x14ac:dyDescent="0.2">
      <c r="A18" s="25"/>
      <c r="B18" s="32"/>
      <c r="C18" s="35"/>
      <c r="D18" s="35"/>
      <c r="E18" s="35"/>
      <c r="F18" s="35"/>
      <c r="G18" s="39"/>
      <c r="H18" s="39"/>
      <c r="I18" s="39"/>
      <c r="J18" s="35"/>
      <c r="K18" s="35"/>
      <c r="L18" s="35"/>
      <c r="M18" s="35"/>
      <c r="N18" s="35"/>
      <c r="O18" s="35"/>
      <c r="P18" s="36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9.5" customHeight="1" x14ac:dyDescent="0.2">
      <c r="B19" s="32"/>
      <c r="C19" s="93" t="s">
        <v>35</v>
      </c>
      <c r="D19" s="73"/>
      <c r="E19" s="87" t="str">
        <f>VLOOKUP(C10,'Formato descripción HU'!B6:O22,14,0)</f>
        <v>Generador de recibos de venta.</v>
      </c>
      <c r="F19" s="88"/>
      <c r="G19" s="88"/>
      <c r="H19" s="88"/>
      <c r="I19" s="88"/>
      <c r="J19" s="88"/>
      <c r="K19" s="88"/>
      <c r="L19" s="88"/>
      <c r="M19" s="88"/>
      <c r="N19" s="88"/>
      <c r="O19" s="89"/>
      <c r="P19" s="36"/>
      <c r="Q19" s="25"/>
    </row>
    <row r="20" spans="1:26" ht="19.5" customHeight="1" x14ac:dyDescent="0.2">
      <c r="B20" s="32"/>
      <c r="C20" s="76"/>
      <c r="D20" s="77"/>
      <c r="E20" s="90"/>
      <c r="F20" s="91"/>
      <c r="G20" s="91"/>
      <c r="H20" s="91"/>
      <c r="I20" s="91"/>
      <c r="J20" s="91"/>
      <c r="K20" s="91"/>
      <c r="L20" s="91"/>
      <c r="M20" s="91"/>
      <c r="N20" s="91"/>
      <c r="O20" s="92"/>
      <c r="P20" s="36"/>
      <c r="Q20" s="25"/>
    </row>
    <row r="21" spans="1:26" ht="9.75" customHeight="1" x14ac:dyDescent="0.2">
      <c r="B21" s="32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25"/>
    </row>
    <row r="22" spans="1:26" ht="19.5" customHeight="1" x14ac:dyDescent="0.2">
      <c r="A22" s="25"/>
      <c r="B22" s="32"/>
      <c r="C22" s="72" t="s">
        <v>36</v>
      </c>
      <c r="D22" s="73"/>
      <c r="E22" s="78" t="str">
        <f>VLOOKUP(C10,'Formato descripción HU'!B6:O22,12,0)</f>
        <v>Realizar una venta de prueba y confirmar que se genera un documento con el total correcto.</v>
      </c>
      <c r="F22" s="79"/>
      <c r="G22" s="79"/>
      <c r="H22" s="73"/>
      <c r="I22" s="35"/>
      <c r="J22" s="72" t="s">
        <v>13</v>
      </c>
      <c r="K22" s="73"/>
      <c r="L22" s="81" t="str">
        <f>VLOOKUP(C10,'Formato descripción HU'!B6:O22,13,0)</f>
        <v>Procesa los datos de los productos seleccionados y los datos del cliente para crear un documento legal o informativo que respalda la transacción comercial.</v>
      </c>
      <c r="M22" s="79"/>
      <c r="N22" s="79"/>
      <c r="O22" s="73"/>
      <c r="P22" s="36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9.5" customHeight="1" x14ac:dyDescent="0.2">
      <c r="A23" s="25"/>
      <c r="B23" s="32"/>
      <c r="C23" s="74"/>
      <c r="D23" s="75"/>
      <c r="E23" s="74"/>
      <c r="F23" s="62"/>
      <c r="G23" s="62"/>
      <c r="H23" s="75"/>
      <c r="I23" s="35"/>
      <c r="J23" s="74"/>
      <c r="K23" s="75"/>
      <c r="L23" s="74"/>
      <c r="M23" s="62"/>
      <c r="N23" s="62"/>
      <c r="O23" s="75"/>
      <c r="P23" s="36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9.5" customHeight="1" x14ac:dyDescent="0.2">
      <c r="A24" s="25"/>
      <c r="B24" s="32"/>
      <c r="C24" s="76"/>
      <c r="D24" s="77"/>
      <c r="E24" s="76"/>
      <c r="F24" s="80"/>
      <c r="G24" s="80"/>
      <c r="H24" s="77"/>
      <c r="I24" s="35"/>
      <c r="J24" s="76"/>
      <c r="K24" s="77"/>
      <c r="L24" s="76"/>
      <c r="M24" s="80"/>
      <c r="N24" s="80"/>
      <c r="O24" s="77"/>
      <c r="P24" s="36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9.75" customHeight="1" x14ac:dyDescent="0.2">
      <c r="A25" s="25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9.5" customHeight="1" x14ac:dyDescent="0.25">
      <c r="C26" s="23"/>
      <c r="D26" s="23"/>
      <c r="E26" s="23"/>
      <c r="F26" s="24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21" x14ac:dyDescent="0.2">
      <c r="A27" s="25"/>
      <c r="B27" s="8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9.5" customHeight="1" x14ac:dyDescent="0.2">
      <c r="A28" s="25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9.5" customHeight="1" x14ac:dyDescent="0.25">
      <c r="B29" s="25"/>
      <c r="C29" s="23"/>
      <c r="D29" s="23"/>
      <c r="E29" s="23"/>
      <c r="F29" s="2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9.5" customHeight="1" x14ac:dyDescent="0.2">
      <c r="B30" s="25"/>
      <c r="C30" s="46"/>
      <c r="D30" s="47"/>
      <c r="E30" s="65"/>
      <c r="F30" s="62"/>
      <c r="G30" s="47"/>
      <c r="H30" s="65"/>
      <c r="I30" s="62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9.5" customHeight="1" x14ac:dyDescent="0.2">
      <c r="A31" s="25"/>
      <c r="B31" s="25"/>
      <c r="C31" s="46"/>
      <c r="D31" s="48"/>
      <c r="E31" s="65"/>
      <c r="F31" s="62"/>
      <c r="G31" s="49"/>
      <c r="H31" s="65"/>
      <c r="I31" s="62"/>
      <c r="J31" s="49"/>
      <c r="K31" s="50"/>
      <c r="L31" s="50"/>
      <c r="M31" s="25"/>
      <c r="N31" s="50"/>
      <c r="O31" s="50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9.5" customHeight="1" x14ac:dyDescent="0.2">
      <c r="A32" s="25"/>
      <c r="B32" s="25"/>
      <c r="C32" s="51"/>
      <c r="D32" s="48"/>
      <c r="E32" s="63"/>
      <c r="F32" s="62"/>
      <c r="G32" s="49"/>
      <c r="H32" s="63"/>
      <c r="I32" s="62"/>
      <c r="J32" s="49"/>
      <c r="K32" s="50"/>
      <c r="L32" s="50"/>
      <c r="M32" s="25"/>
      <c r="N32" s="50"/>
      <c r="O32" s="50"/>
      <c r="P32" s="25"/>
    </row>
    <row r="33" spans="1:16" ht="19.5" customHeight="1" x14ac:dyDescent="0.2">
      <c r="A33" s="25"/>
      <c r="B33" s="25"/>
      <c r="C33" s="25"/>
      <c r="D33" s="48"/>
      <c r="E33" s="25"/>
      <c r="F33" s="25"/>
      <c r="G33" s="49"/>
      <c r="H33" s="49"/>
      <c r="I33" s="25"/>
      <c r="J33" s="25"/>
      <c r="K33" s="25"/>
      <c r="L33" s="25"/>
      <c r="M33" s="25"/>
      <c r="N33" s="25"/>
      <c r="O33" s="25"/>
      <c r="P33" s="25"/>
    </row>
    <row r="34" spans="1:16" ht="19.5" customHeight="1" x14ac:dyDescent="0.2">
      <c r="A34" s="25"/>
      <c r="B34" s="25"/>
      <c r="C34" s="65"/>
      <c r="D34" s="66"/>
      <c r="E34" s="62"/>
      <c r="F34" s="52"/>
      <c r="G34" s="65"/>
      <c r="H34" s="66"/>
      <c r="I34" s="62"/>
      <c r="J34" s="62"/>
      <c r="K34" s="52"/>
      <c r="L34" s="65"/>
      <c r="M34" s="70"/>
      <c r="N34" s="62"/>
      <c r="O34" s="62"/>
      <c r="P34" s="25"/>
    </row>
    <row r="35" spans="1:16" ht="19.5" customHeight="1" x14ac:dyDescent="0.2">
      <c r="A35" s="25"/>
      <c r="B35" s="25"/>
      <c r="C35" s="62"/>
      <c r="D35" s="62"/>
      <c r="E35" s="62"/>
      <c r="F35" s="52"/>
      <c r="G35" s="62"/>
      <c r="H35" s="62"/>
      <c r="I35" s="62"/>
      <c r="J35" s="62"/>
      <c r="K35" s="52"/>
      <c r="L35" s="62"/>
      <c r="M35" s="62"/>
      <c r="N35" s="62"/>
      <c r="O35" s="62"/>
      <c r="P35" s="25"/>
    </row>
    <row r="36" spans="1:16" ht="19.5" customHeight="1" x14ac:dyDescent="0.2">
      <c r="A36" s="25"/>
      <c r="B36" s="25"/>
      <c r="C36" s="62"/>
      <c r="D36" s="62"/>
      <c r="E36" s="62"/>
      <c r="F36" s="52"/>
      <c r="G36" s="62"/>
      <c r="H36" s="62"/>
      <c r="I36" s="62"/>
      <c r="J36" s="62"/>
      <c r="K36" s="52"/>
      <c r="L36" s="62"/>
      <c r="M36" s="62"/>
      <c r="N36" s="62"/>
      <c r="O36" s="62"/>
      <c r="P36" s="25"/>
    </row>
    <row r="37" spans="1:16" ht="19.5" customHeight="1" x14ac:dyDescent="0.2">
      <c r="A37" s="25"/>
      <c r="B37" s="25"/>
      <c r="C37" s="25"/>
      <c r="D37" s="25"/>
      <c r="E37" s="25"/>
      <c r="F37" s="25"/>
      <c r="G37" s="49"/>
      <c r="H37" s="49"/>
      <c r="I37" s="49"/>
      <c r="J37" s="25"/>
      <c r="K37" s="25"/>
      <c r="L37" s="25"/>
      <c r="M37" s="25"/>
      <c r="N37" s="25"/>
      <c r="O37" s="25"/>
      <c r="P37" s="25"/>
    </row>
    <row r="38" spans="1:16" ht="19.5" customHeight="1" x14ac:dyDescent="0.2">
      <c r="B38" s="25"/>
      <c r="C38" s="69"/>
      <c r="D38" s="62"/>
      <c r="E38" s="71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25"/>
    </row>
    <row r="39" spans="1:16" ht="19.5" customHeight="1" x14ac:dyDescent="0.2">
      <c r="B39" s="25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25"/>
    </row>
    <row r="40" spans="1:16" ht="19.5" customHeight="1" x14ac:dyDescent="0.2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19.5" customHeight="1" x14ac:dyDescent="0.2">
      <c r="A41" s="25"/>
      <c r="B41" s="25"/>
      <c r="C41" s="65"/>
      <c r="D41" s="62"/>
      <c r="E41" s="68"/>
      <c r="F41" s="62"/>
      <c r="G41" s="62"/>
      <c r="H41" s="62"/>
      <c r="I41" s="25"/>
      <c r="J41" s="65"/>
      <c r="K41" s="62"/>
      <c r="L41" s="66"/>
      <c r="M41" s="62"/>
      <c r="N41" s="62"/>
      <c r="O41" s="62"/>
      <c r="P41" s="25"/>
    </row>
    <row r="42" spans="1:16" ht="19.5" customHeight="1" x14ac:dyDescent="0.2">
      <c r="A42" s="25"/>
      <c r="B42" s="25"/>
      <c r="C42" s="62"/>
      <c r="D42" s="62"/>
      <c r="E42" s="62"/>
      <c r="F42" s="62"/>
      <c r="G42" s="62"/>
      <c r="H42" s="62"/>
      <c r="I42" s="25"/>
      <c r="J42" s="62"/>
      <c r="K42" s="62"/>
      <c r="L42" s="62"/>
      <c r="M42" s="62"/>
      <c r="N42" s="62"/>
      <c r="O42" s="62"/>
      <c r="P42" s="25"/>
    </row>
    <row r="43" spans="1:16" ht="19.5" customHeight="1" x14ac:dyDescent="0.2">
      <c r="A43" s="25"/>
      <c r="B43" s="25"/>
      <c r="C43" s="62"/>
      <c r="D43" s="62"/>
      <c r="E43" s="62"/>
      <c r="F43" s="62"/>
      <c r="G43" s="62"/>
      <c r="H43" s="62"/>
      <c r="I43" s="25"/>
      <c r="J43" s="62"/>
      <c r="K43" s="62"/>
      <c r="L43" s="62"/>
      <c r="M43" s="62"/>
      <c r="N43" s="62"/>
      <c r="O43" s="62"/>
      <c r="P43" s="25"/>
    </row>
    <row r="44" spans="1:16" ht="19.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19.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19.5" customHeight="1" x14ac:dyDescent="0.35">
      <c r="A46" s="25"/>
      <c r="B46" s="67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  <row r="47" spans="1:16" ht="19.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ht="19.5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ht="19.5" customHeight="1" x14ac:dyDescent="0.25">
      <c r="A49" s="25"/>
      <c r="B49" s="25"/>
      <c r="C49" s="53"/>
      <c r="D49" s="25"/>
      <c r="E49" s="64"/>
      <c r="F49" s="62"/>
      <c r="G49" s="25"/>
      <c r="H49" s="64"/>
      <c r="I49" s="62"/>
      <c r="J49" s="25"/>
      <c r="K49" s="25"/>
      <c r="L49" s="25"/>
      <c r="M49" s="25"/>
      <c r="N49" s="25"/>
      <c r="O49" s="25"/>
      <c r="P49" s="25"/>
    </row>
    <row r="50" spans="1:16" ht="19.5" customHeight="1" x14ac:dyDescent="0.25">
      <c r="A50" s="25"/>
      <c r="B50" s="25"/>
      <c r="C50" s="54"/>
      <c r="D50" s="25"/>
      <c r="E50" s="61"/>
      <c r="F50" s="62"/>
      <c r="G50" s="25"/>
      <c r="H50" s="63"/>
      <c r="I50" s="62"/>
      <c r="J50" s="25"/>
      <c r="K50" s="25"/>
      <c r="L50" s="25"/>
      <c r="M50" s="25"/>
      <c r="N50" s="25"/>
      <c r="O50" s="25"/>
      <c r="P50" s="25"/>
    </row>
    <row r="51" spans="1:16" ht="19.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9.5" customHeight="1" x14ac:dyDescent="0.25">
      <c r="A52" s="25"/>
      <c r="B52" s="25"/>
      <c r="C52" s="53"/>
      <c r="D52" s="25"/>
      <c r="E52" s="64"/>
      <c r="F52" s="62"/>
      <c r="G52" s="25"/>
      <c r="H52" s="64"/>
      <c r="I52" s="62"/>
      <c r="J52" s="25"/>
      <c r="K52" s="25"/>
      <c r="L52" s="25"/>
      <c r="M52" s="25"/>
      <c r="N52" s="25"/>
      <c r="O52" s="25"/>
      <c r="P52" s="25"/>
    </row>
    <row r="53" spans="1:16" ht="15.75" customHeight="1" x14ac:dyDescent="0.25">
      <c r="A53" s="25"/>
      <c r="B53" s="25"/>
      <c r="C53" s="54"/>
      <c r="D53" s="25"/>
      <c r="E53" s="61"/>
      <c r="F53" s="62"/>
      <c r="G53" s="25"/>
      <c r="H53" s="61"/>
      <c r="I53" s="62"/>
      <c r="J53" s="25"/>
      <c r="K53" s="25"/>
      <c r="L53" s="25"/>
      <c r="M53" s="25"/>
      <c r="N53" s="25"/>
      <c r="O53" s="25"/>
      <c r="P53" s="25"/>
    </row>
    <row r="54" spans="1:16" ht="15.7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15.75" customHeight="1" x14ac:dyDescent="0.2">
      <c r="A55" s="25"/>
      <c r="B55" s="25"/>
      <c r="C55" s="64"/>
      <c r="D55" s="66"/>
      <c r="E55" s="62"/>
      <c r="F55" s="25"/>
      <c r="G55" s="64"/>
      <c r="H55" s="104"/>
      <c r="I55" s="62"/>
      <c r="J55" s="62"/>
      <c r="K55" s="25"/>
      <c r="L55" s="64"/>
      <c r="M55" s="105"/>
      <c r="N55" s="62"/>
      <c r="O55" s="62"/>
      <c r="P55" s="25"/>
    </row>
    <row r="56" spans="1:16" ht="15.75" customHeight="1" x14ac:dyDescent="0.2">
      <c r="A56" s="25"/>
      <c r="B56" s="25"/>
      <c r="C56" s="62"/>
      <c r="D56" s="62"/>
      <c r="E56" s="62"/>
      <c r="F56" s="25"/>
      <c r="G56" s="62"/>
      <c r="H56" s="62"/>
      <c r="I56" s="62"/>
      <c r="J56" s="62"/>
      <c r="K56" s="25"/>
      <c r="L56" s="62"/>
      <c r="M56" s="62"/>
      <c r="N56" s="62"/>
      <c r="O56" s="62"/>
      <c r="P56" s="25"/>
    </row>
    <row r="57" spans="1:16" ht="15.75" customHeight="1" x14ac:dyDescent="0.2">
      <c r="A57" s="25"/>
      <c r="B57" s="25"/>
      <c r="C57" s="62"/>
      <c r="D57" s="62"/>
      <c r="E57" s="62"/>
      <c r="F57" s="25"/>
      <c r="G57" s="62"/>
      <c r="H57" s="62"/>
      <c r="I57" s="62"/>
      <c r="J57" s="62"/>
      <c r="K57" s="25"/>
      <c r="L57" s="62"/>
      <c r="M57" s="62"/>
      <c r="N57" s="62"/>
      <c r="O57" s="62"/>
      <c r="P57" s="25"/>
    </row>
    <row r="58" spans="1:16" ht="15.7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ht="15.75" customHeight="1" x14ac:dyDescent="0.2">
      <c r="A59" s="25"/>
      <c r="B59" s="25"/>
      <c r="C59" s="102"/>
      <c r="D59" s="62"/>
      <c r="E59" s="103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25"/>
    </row>
    <row r="60" spans="1:16" ht="15.75" customHeight="1" x14ac:dyDescent="0.2">
      <c r="A60" s="25"/>
      <c r="B60" s="25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25"/>
    </row>
    <row r="61" spans="1:16" ht="15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ht="15.75" customHeight="1" x14ac:dyDescent="0.2">
      <c r="A62" s="25"/>
      <c r="B62" s="25"/>
      <c r="C62" s="64"/>
      <c r="D62" s="62"/>
      <c r="E62" s="106"/>
      <c r="F62" s="62"/>
      <c r="G62" s="62"/>
      <c r="H62" s="62"/>
      <c r="I62" s="25"/>
      <c r="J62" s="64"/>
      <c r="K62" s="62"/>
      <c r="L62" s="108"/>
      <c r="M62" s="62"/>
      <c r="N62" s="62"/>
      <c r="O62" s="62"/>
      <c r="P62" s="25"/>
    </row>
    <row r="63" spans="1:16" ht="15.75" customHeight="1" x14ac:dyDescent="0.2">
      <c r="A63" s="25"/>
      <c r="B63" s="25"/>
      <c r="C63" s="62"/>
      <c r="D63" s="62"/>
      <c r="E63" s="62"/>
      <c r="F63" s="62"/>
      <c r="G63" s="62"/>
      <c r="H63" s="62"/>
      <c r="I63" s="25"/>
      <c r="J63" s="62"/>
      <c r="K63" s="62"/>
      <c r="L63" s="62"/>
      <c r="M63" s="62"/>
      <c r="N63" s="62"/>
      <c r="O63" s="62"/>
      <c r="P63" s="25"/>
    </row>
    <row r="64" spans="1:16" ht="15.75" customHeight="1" x14ac:dyDescent="0.2">
      <c r="A64" s="25"/>
      <c r="B64" s="25"/>
      <c r="C64" s="62"/>
      <c r="D64" s="62"/>
      <c r="E64" s="62"/>
      <c r="F64" s="62"/>
      <c r="G64" s="62"/>
      <c r="H64" s="62"/>
      <c r="I64" s="25"/>
      <c r="J64" s="62"/>
      <c r="K64" s="62"/>
      <c r="L64" s="62"/>
      <c r="M64" s="62"/>
      <c r="N64" s="62"/>
      <c r="O64" s="62"/>
      <c r="P64" s="25"/>
    </row>
    <row r="65" spans="1:16" ht="15.7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15.75" customHeight="1" x14ac:dyDescent="0.2"/>
    <row r="67" spans="1:16" ht="9.75" customHeight="1" x14ac:dyDescent="0.35">
      <c r="A67" s="25"/>
      <c r="B67" s="67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</row>
    <row r="68" spans="1:16" ht="27" customHeight="1" x14ac:dyDescent="0.35">
      <c r="A68" s="25"/>
      <c r="B68" s="67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</row>
    <row r="69" spans="1:16" ht="15.7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ht="15.7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ht="15.75" customHeight="1" x14ac:dyDescent="0.25">
      <c r="A71" s="25"/>
      <c r="B71" s="25"/>
      <c r="C71" s="53"/>
      <c r="D71" s="25"/>
      <c r="E71" s="64"/>
      <c r="F71" s="62"/>
      <c r="G71" s="25"/>
      <c r="H71" s="64"/>
      <c r="I71" s="62"/>
      <c r="J71" s="25"/>
      <c r="K71" s="25"/>
      <c r="L71" s="25"/>
      <c r="M71" s="25"/>
      <c r="N71" s="25"/>
      <c r="O71" s="25"/>
      <c r="P71" s="25"/>
    </row>
    <row r="72" spans="1:16" ht="15.75" customHeight="1" x14ac:dyDescent="0.25">
      <c r="A72" s="25"/>
      <c r="B72" s="25"/>
      <c r="C72" s="53"/>
      <c r="D72" s="25"/>
      <c r="E72" s="64"/>
      <c r="F72" s="62"/>
      <c r="G72" s="25"/>
      <c r="H72" s="64"/>
      <c r="I72" s="62"/>
      <c r="J72" s="25"/>
      <c r="K72" s="25"/>
      <c r="L72" s="25"/>
      <c r="M72" s="25"/>
      <c r="N72" s="25"/>
      <c r="O72" s="25"/>
      <c r="P72" s="25"/>
    </row>
    <row r="73" spans="1:16" ht="15.75" customHeight="1" x14ac:dyDescent="0.25">
      <c r="A73" s="25"/>
      <c r="B73" s="25"/>
      <c r="C73" s="54"/>
      <c r="D73" s="25"/>
      <c r="E73" s="61"/>
      <c r="F73" s="62"/>
      <c r="G73" s="25"/>
      <c r="H73" s="61"/>
      <c r="I73" s="62"/>
      <c r="J73" s="25"/>
      <c r="K73" s="25"/>
      <c r="L73" s="25"/>
      <c r="M73" s="25"/>
      <c r="N73" s="25"/>
      <c r="O73" s="25"/>
      <c r="P73" s="25"/>
    </row>
    <row r="74" spans="1:16" ht="15.7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ht="15.75" customHeight="1" x14ac:dyDescent="0.2">
      <c r="A75" s="25"/>
      <c r="B75" s="25"/>
      <c r="C75" s="64"/>
      <c r="D75" s="107"/>
      <c r="E75" s="62"/>
      <c r="F75" s="25"/>
      <c r="G75" s="64"/>
      <c r="H75" s="104"/>
      <c r="I75" s="62"/>
      <c r="J75" s="62"/>
      <c r="K75" s="25"/>
      <c r="L75" s="64"/>
      <c r="M75" s="105"/>
      <c r="N75" s="62"/>
      <c r="O75" s="62"/>
      <c r="P75" s="25"/>
    </row>
    <row r="76" spans="1:16" ht="15.75" customHeight="1" x14ac:dyDescent="0.2">
      <c r="A76" s="25"/>
      <c r="B76" s="25"/>
      <c r="C76" s="62"/>
      <c r="D76" s="62"/>
      <c r="E76" s="62"/>
      <c r="F76" s="25"/>
      <c r="G76" s="62"/>
      <c r="H76" s="62"/>
      <c r="I76" s="62"/>
      <c r="J76" s="62"/>
      <c r="K76" s="25"/>
      <c r="L76" s="62"/>
      <c r="M76" s="62"/>
      <c r="N76" s="62"/>
      <c r="O76" s="62"/>
      <c r="P76" s="25"/>
    </row>
    <row r="77" spans="1:16" ht="15.75" customHeight="1" x14ac:dyDescent="0.2">
      <c r="A77" s="25"/>
      <c r="B77" s="25"/>
      <c r="C77" s="62"/>
      <c r="D77" s="62"/>
      <c r="E77" s="62"/>
      <c r="F77" s="25"/>
      <c r="G77" s="62"/>
      <c r="H77" s="62"/>
      <c r="I77" s="62"/>
      <c r="J77" s="62"/>
      <c r="K77" s="25"/>
      <c r="L77" s="62"/>
      <c r="M77" s="62"/>
      <c r="N77" s="62"/>
      <c r="O77" s="62"/>
      <c r="P77" s="25"/>
    </row>
    <row r="78" spans="1:16" ht="15.7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ht="15.75" customHeight="1" x14ac:dyDescent="0.2">
      <c r="A79" s="25"/>
      <c r="B79" s="25"/>
      <c r="C79" s="102"/>
      <c r="D79" s="62"/>
      <c r="E79" s="103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25"/>
    </row>
    <row r="80" spans="1:16" ht="15.75" customHeight="1" x14ac:dyDescent="0.2">
      <c r="A80" s="25"/>
      <c r="B80" s="25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25"/>
    </row>
    <row r="81" spans="1:16" ht="15.7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ht="15.75" customHeight="1" x14ac:dyDescent="0.2">
      <c r="A82" s="25"/>
      <c r="B82" s="25"/>
      <c r="C82" s="64"/>
      <c r="D82" s="62"/>
      <c r="E82" s="106"/>
      <c r="F82" s="62"/>
      <c r="G82" s="62"/>
      <c r="H82" s="62"/>
      <c r="I82" s="25"/>
      <c r="J82" s="64"/>
      <c r="K82" s="62"/>
      <c r="L82" s="100"/>
      <c r="M82" s="62"/>
      <c r="N82" s="62"/>
      <c r="O82" s="62"/>
      <c r="P82" s="25"/>
    </row>
    <row r="83" spans="1:16" ht="15.75" customHeight="1" x14ac:dyDescent="0.2">
      <c r="A83" s="25"/>
      <c r="B83" s="25"/>
      <c r="C83" s="62"/>
      <c r="D83" s="62"/>
      <c r="E83" s="62"/>
      <c r="F83" s="62"/>
      <c r="G83" s="62"/>
      <c r="H83" s="62"/>
      <c r="I83" s="25"/>
      <c r="J83" s="62"/>
      <c r="K83" s="62"/>
      <c r="L83" s="62"/>
      <c r="M83" s="62"/>
      <c r="N83" s="62"/>
      <c r="O83" s="62"/>
      <c r="P83" s="25"/>
    </row>
    <row r="84" spans="1:16" ht="15.75" customHeight="1" x14ac:dyDescent="0.2">
      <c r="A84" s="25"/>
      <c r="B84" s="25"/>
      <c r="C84" s="62"/>
      <c r="D84" s="62"/>
      <c r="E84" s="62"/>
      <c r="F84" s="62"/>
      <c r="G84" s="62"/>
      <c r="H84" s="62"/>
      <c r="I84" s="25"/>
      <c r="J84" s="62"/>
      <c r="K84" s="62"/>
      <c r="L84" s="62"/>
      <c r="M84" s="62"/>
      <c r="N84" s="62"/>
      <c r="O84" s="62"/>
      <c r="P84" s="25"/>
    </row>
    <row r="85" spans="1:16" ht="15.75" customHeight="1" x14ac:dyDescent="0.2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ht="15.75" customHeight="1" x14ac:dyDescent="0.2">
      <c r="A86" s="25"/>
    </row>
    <row r="87" spans="1:16" ht="21" x14ac:dyDescent="0.35">
      <c r="A87" s="25"/>
      <c r="B87" s="67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</row>
    <row r="88" spans="1:16" ht="15.7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ht="15.7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ht="15.75" customHeight="1" x14ac:dyDescent="0.25">
      <c r="A90" s="25"/>
      <c r="B90" s="25"/>
      <c r="C90" s="53"/>
      <c r="D90" s="25"/>
      <c r="E90" s="64"/>
      <c r="F90" s="62"/>
      <c r="G90" s="25"/>
      <c r="H90" s="64"/>
      <c r="I90" s="62"/>
      <c r="J90" s="25"/>
      <c r="K90" s="25"/>
      <c r="L90" s="25"/>
      <c r="M90" s="25"/>
      <c r="N90" s="25"/>
      <c r="O90" s="25"/>
      <c r="P90" s="25"/>
    </row>
    <row r="91" spans="1:16" ht="15.75" customHeight="1" x14ac:dyDescent="0.25">
      <c r="A91" s="25"/>
      <c r="B91" s="25"/>
      <c r="C91" s="54"/>
      <c r="D91" s="25"/>
      <c r="E91" s="61"/>
      <c r="F91" s="62"/>
      <c r="G91" s="25"/>
      <c r="H91" s="61"/>
      <c r="I91" s="62"/>
      <c r="J91" s="25"/>
      <c r="K91" s="25"/>
      <c r="L91" s="25"/>
      <c r="M91" s="25"/>
      <c r="N91" s="25"/>
      <c r="O91" s="25"/>
      <c r="P91" s="25"/>
    </row>
    <row r="92" spans="1:16" ht="15.7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ht="15.75" customHeight="1" x14ac:dyDescent="0.2">
      <c r="A93" s="25"/>
      <c r="B93" s="25"/>
      <c r="C93" s="64"/>
      <c r="D93" s="104"/>
      <c r="E93" s="62"/>
      <c r="F93" s="25"/>
      <c r="G93" s="64"/>
      <c r="H93" s="104"/>
      <c r="I93" s="62"/>
      <c r="J93" s="62"/>
      <c r="K93" s="25"/>
      <c r="L93" s="64"/>
      <c r="M93" s="101"/>
      <c r="N93" s="62"/>
      <c r="O93" s="62"/>
      <c r="P93" s="25"/>
    </row>
    <row r="94" spans="1:16" ht="15.75" customHeight="1" x14ac:dyDescent="0.2">
      <c r="A94" s="25"/>
      <c r="B94" s="25"/>
      <c r="C94" s="62"/>
      <c r="D94" s="62"/>
      <c r="E94" s="62"/>
      <c r="F94" s="25"/>
      <c r="G94" s="62"/>
      <c r="H94" s="62"/>
      <c r="I94" s="62"/>
      <c r="J94" s="62"/>
      <c r="K94" s="25"/>
      <c r="L94" s="62"/>
      <c r="M94" s="62"/>
      <c r="N94" s="62"/>
      <c r="O94" s="62"/>
      <c r="P94" s="25"/>
    </row>
    <row r="95" spans="1:16" ht="15.75" customHeight="1" x14ac:dyDescent="0.2">
      <c r="A95" s="25"/>
      <c r="B95" s="25"/>
      <c r="C95" s="62"/>
      <c r="D95" s="62"/>
      <c r="E95" s="62"/>
      <c r="F95" s="25"/>
      <c r="G95" s="62"/>
      <c r="H95" s="62"/>
      <c r="I95" s="62"/>
      <c r="J95" s="62"/>
      <c r="K95" s="25"/>
      <c r="L95" s="62"/>
      <c r="M95" s="62"/>
      <c r="N95" s="62"/>
      <c r="O95" s="62"/>
      <c r="P95" s="25"/>
    </row>
    <row r="96" spans="1:16" ht="15.7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ht="15.75" customHeight="1" x14ac:dyDescent="0.2">
      <c r="A97" s="25"/>
      <c r="B97" s="25"/>
      <c r="C97" s="102"/>
      <c r="D97" s="62"/>
      <c r="E97" s="103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25"/>
    </row>
    <row r="98" spans="1:16" ht="15.75" customHeight="1" x14ac:dyDescent="0.2">
      <c r="A98" s="25"/>
      <c r="B98" s="25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25"/>
    </row>
    <row r="99" spans="1:16" ht="15.75" customHeight="1" x14ac:dyDescent="0.2">
      <c r="A99" s="25"/>
      <c r="B99" s="25"/>
      <c r="C99" s="25"/>
      <c r="D99" s="25"/>
      <c r="E99" s="55"/>
      <c r="F99" s="55"/>
      <c r="G99" s="55"/>
      <c r="H99" s="55"/>
      <c r="I99" s="25"/>
      <c r="J99" s="25"/>
      <c r="K99" s="25"/>
      <c r="L99" s="25"/>
      <c r="M99" s="25"/>
      <c r="N99" s="25"/>
      <c r="O99" s="25"/>
      <c r="P99" s="25"/>
    </row>
    <row r="100" spans="1:16" ht="15.75" customHeight="1" x14ac:dyDescent="0.2">
      <c r="A100" s="25"/>
      <c r="B100" s="25"/>
      <c r="C100" s="64"/>
      <c r="D100" s="62"/>
      <c r="E100" s="99"/>
      <c r="F100" s="62"/>
      <c r="G100" s="62"/>
      <c r="H100" s="62"/>
      <c r="I100" s="25"/>
      <c r="J100" s="64"/>
      <c r="K100" s="62"/>
      <c r="L100" s="100"/>
      <c r="M100" s="62"/>
      <c r="N100" s="62"/>
      <c r="O100" s="62"/>
      <c r="P100" s="25"/>
    </row>
    <row r="101" spans="1:16" ht="15.75" customHeight="1" x14ac:dyDescent="0.2">
      <c r="A101" s="25"/>
      <c r="B101" s="25"/>
      <c r="C101" s="62"/>
      <c r="D101" s="62"/>
      <c r="E101" s="62"/>
      <c r="F101" s="62"/>
      <c r="G101" s="62"/>
      <c r="H101" s="62"/>
      <c r="I101" s="25"/>
      <c r="J101" s="62"/>
      <c r="K101" s="62"/>
      <c r="L101" s="62"/>
      <c r="M101" s="62"/>
      <c r="N101" s="62"/>
      <c r="O101" s="62"/>
      <c r="P101" s="25"/>
    </row>
    <row r="102" spans="1:16" ht="15.75" customHeight="1" x14ac:dyDescent="0.2">
      <c r="A102" s="25"/>
      <c r="B102" s="25"/>
      <c r="C102" s="62"/>
      <c r="D102" s="62"/>
      <c r="E102" s="62"/>
      <c r="F102" s="62"/>
      <c r="G102" s="62"/>
      <c r="H102" s="62"/>
      <c r="I102" s="25"/>
      <c r="J102" s="62"/>
      <c r="K102" s="62"/>
      <c r="L102" s="62"/>
      <c r="M102" s="62"/>
      <c r="N102" s="62"/>
      <c r="O102" s="62"/>
      <c r="P102" s="25"/>
    </row>
    <row r="103" spans="1:16" ht="15.75" customHeight="1" x14ac:dyDescent="0.2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ht="15.75" customHeight="1" x14ac:dyDescent="0.2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5.75" customHeight="1" x14ac:dyDescent="0.35">
      <c r="B105" s="67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8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 descripción HU</vt:lpstr>
      <vt:lpstr>Historia de Usuario</vt:lpstr>
      <vt:lpstr>'Formato descripción HU'!Área_de_impresión</vt:lpstr>
      <vt:lpstr>'Historia de Usuario'!Área_de_impresión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Juan Socasi</cp:lastModifiedBy>
  <cp:lastPrinted>2026-05-08T18:22:56Z</cp:lastPrinted>
  <dcterms:created xsi:type="dcterms:W3CDTF">2019-10-21T15:37:14Z</dcterms:created>
  <dcterms:modified xsi:type="dcterms:W3CDTF">2026-05-08T18:23:54Z</dcterms:modified>
</cp:coreProperties>
</file>