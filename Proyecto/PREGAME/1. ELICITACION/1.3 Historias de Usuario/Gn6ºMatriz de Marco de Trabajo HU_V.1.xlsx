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esocasi\Desktop\mtodologia\"/>
    </mc:Choice>
  </mc:AlternateContent>
  <xr:revisionPtr revIDLastSave="0" documentId="13_ncr:1_{112855E0-8260-435B-BB0A-430FF2F6CA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descripción HU" sheetId="1" r:id="rId1"/>
    <sheet name="Historia de Usuario" sheetId="2" r:id="rId2"/>
  </sheets>
  <definedNames>
    <definedName name="_xlnm.Print_Area" localSheetId="0">'Formato descripción HU'!$B$3:$O$14</definedName>
    <definedName name="_xlnm.Print_Area" localSheetId="1">'Historia de Usuario'!$B$1:$P$25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5" i="2" l="1"/>
  <c r="L22" i="2"/>
  <c r="E22" i="2"/>
  <c r="E19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<sst xmlns="http://schemas.openxmlformats.org/spreadsheetml/2006/main" count="115" uniqueCount="85">
  <si>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</si>
  <si>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</si>
  <si>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</si>
  <si>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</si>
  <si>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</si>
  <si>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</si>
  <si>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</si>
  <si>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</si>
  <si>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</si>
  <si>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</si>
  <si>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</si>
  <si>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</si>
  <si>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</si>
  <si>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</si>
  <si>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</si>
  <si>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</si>
  <si>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</si>
  <si>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</si>
  <si>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>REQ002</t>
  </si>
  <si>
    <t>REQ003</t>
  </si>
  <si>
    <t>REQ004</t>
  </si>
  <si>
    <t>No iniciado</t>
  </si>
  <si>
    <t>REQ005</t>
  </si>
  <si>
    <t xml:space="preserve">Media </t>
  </si>
  <si>
    <t>.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</si>
  <si>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</si>
  <si>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</si>
  <si>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</si>
  <si>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</si>
  <si>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</si>
  <si>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</si>
  <si>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</si>
  <si>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</si>
  <si>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</si>
  <si>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</si>
  <si>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</si>
  <si>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</si>
  <si>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ABR 26 - AGO 26</t>
  </si>
  <si>
    <t>Juan Socasi</t>
  </si>
  <si>
    <t>Vicente Sanchez</t>
  </si>
  <si>
    <t>No hay forma de vizuallizar todos los productos que ofrece el negocio</t>
  </si>
  <si>
    <t xml:space="preserve">Implementar una interfaz grafica que muestre todos los productos del negocio </t>
  </si>
  <si>
    <t>No hay forma de ver la informacion especifica de cada producto</t>
  </si>
  <si>
    <t>Implementar una boton a cada producto que rediriga a una ventana con la informacion especifica del mismo</t>
  </si>
  <si>
    <t>No hay forma de buscar un producto</t>
  </si>
  <si>
    <t>Implementar un buscador</t>
  </si>
  <si>
    <t>No hay forma rapida de generar un recibo</t>
  </si>
  <si>
    <t>No hay forma en que el cliente pueda hacer una solicitud al negocio</t>
  </si>
  <si>
    <t>Solicitar los datos personales del cliente  y enviar su solicitud al correo del administrador</t>
  </si>
  <si>
    <t>Soicitar los datos personales del cliente y generar automaticamente un recibo</t>
  </si>
  <si>
    <t>Para entregar un comprobante de compra profesional al cliente al instante.</t>
  </si>
  <si>
    <t>Diseñar una pantalla principal que muestre fotos, nombres y cantidades disponibles de todos los accesorios.</t>
  </si>
  <si>
    <t>Diseñar un formato de ticket que tome los datos de la venta y los convierta en un archivo listo para imprimir.</t>
  </si>
  <si>
    <t>Escribir un producto conocido en el buscador y verificar que aparezca en pantalla.</t>
  </si>
  <si>
    <t>Hacer clic en un producto y revisar que la información mostrada coincida con el artículo real.</t>
  </si>
  <si>
    <t>Llenar el formulario como cliente y verificar que el dueño reciba un correo con los datos.</t>
  </si>
  <si>
    <t>Realizar una venta de prueba y confirmar que se genera un documento con el total correcto.</t>
  </si>
  <si>
    <t>Buscador por nombre</t>
  </si>
  <si>
    <t>Formulario de pedidos y contacto.</t>
  </si>
  <si>
    <t>Generador de recibos de venta.</t>
  </si>
  <si>
    <t>Despliega una ventana emergente o secundaria con las especificaciones del producto, evitando que la pantalla principal se llene de texto innecesario.</t>
  </si>
  <si>
    <t>Procesa los datos de los productos seleccionados y los datos del cliente para crear un documento legal o informativo que respalda la transacción comercial.</t>
  </si>
  <si>
    <t>Administrador y Cliente</t>
  </si>
  <si>
    <t>Catalogo visual de productos.</t>
  </si>
  <si>
    <t>Entrar a la pagina y confirmar que se ven todos los productos registrados.</t>
  </si>
  <si>
    <t>Ficha tecnica de accesorios</t>
  </si>
  <si>
    <t>Crear una barra de texto donde se pueda escribir el nombre del repuesto o el modelo del auto.</t>
  </si>
  <si>
    <t>Agregar un botón de "ver mas" que abra una ficha completa con la descripcion detallada del accesorio.</t>
  </si>
  <si>
    <t>Crear un formulario sencillo donde el cliente deje su nombre, telefono y el pedido que desea realizar.</t>
  </si>
  <si>
    <t>Para que el administrador sepa que tiene en bodega y qué le falta por vender.</t>
  </si>
  <si>
    <t>Para encontrar rapidamente una pieza específica sin tener que buscar en toda la lista.</t>
  </si>
  <si>
    <t>Para conocer detalles tecnicos como compatibilidad de años, marca o material antes de venderlo.</t>
  </si>
  <si>
    <t>Para que el cliente pueda apartar productos o pedir una cotizacion formal de forma remota.</t>
  </si>
  <si>
    <t>Funciona como el panel principal donde se muestra toda la oferta del negocio</t>
  </si>
  <si>
    <t>Filtra la base de datos completa para mostrar solo los productos que coinciden con el texto ingresado, optimizando la atención al cliente.</t>
  </si>
  <si>
    <t>Actua como una forma de comunicacion directa entre el cliente y el negocio registrando los datos del cliente y su pedido.</t>
  </si>
  <si>
    <t>REQ006</t>
  </si>
  <si>
    <t>No hay control de acceso ni validación de usuarios</t>
  </si>
  <si>
    <t>Implementar inicio de sesión con usuario y contraseña</t>
  </si>
  <si>
    <t>Crear módulo de login con campos: usuario, contraseña; validación contra base de datos; mensajes de error; redirección según rol</t>
  </si>
  <si>
    <t>Para controlar el acceso y el flujo de personas</t>
  </si>
  <si>
    <t>Administradora y Cliente</t>
  </si>
  <si>
    <t>Se ingresa usuario y contraseña válidos y se accede al sistema;  usuario y contraseña incorrectas muestran error</t>
  </si>
  <si>
    <t>Validar acceso correcto, errores por usuario y contraseña inválidas y redirección por rol</t>
  </si>
  <si>
    <t>Inicio de sesión con usuario y contraseña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</si>
</sst>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b/>
      <i/>
      <sz val="12"/>
      <color rgb="FF9C6500"/>
      <name val="Calibri"/>
      <family val="2"/>
    </font>
    <font>
      <sz val="10"/>
      <color theme="1"/>
      <name val="Calibri"/>
      <family val="2"/>
    </font>
    <font>
      <b/>
      <sz val="11"/>
      <color rgb="FFFFFFFF"/>
      <name val="Calibri"/>
      <family val="2"/>
    </font>
    <font>
      <sz val="9"/>
      <color theme="1"/>
      <name val="Calibri"/>
      <family val="2"/>
    </font>
    <font>
      <sz val="10"/>
      <color theme="1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5"/>
  </cellStyleXfs>
  <cellXfs count="1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/>
    <xf numFmtId="165" fontId="6" fillId="3" borderId="4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horizontal="center" vertical="center" wrapText="1"/>
    </xf>
    <xf numFmtId="165" fontId="6" fillId="3" borderId="5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7" fillId="0" borderId="0" xfId="0" applyFont="1"/>
    <xf numFmtId="0" fontId="10" fillId="0" borderId="0" xfId="0" applyFont="1" applyAlignment="1">
      <alignment horizontal="center" vertical="center" wrapText="1"/>
    </xf>
    <xf numFmtId="0" fontId="7" fillId="5" borderId="6" xfId="0" applyFont="1" applyFill="1" applyBorder="1"/>
    <xf numFmtId="0" fontId="10" fillId="5" borderId="7" xfId="0" applyFont="1" applyFill="1" applyBorder="1" applyAlignment="1">
      <alignment horizontal="left" vertical="center" wrapText="1"/>
    </xf>
    <xf numFmtId="0" fontId="11" fillId="5" borderId="7" xfId="0" applyFont="1" applyFill="1" applyBorder="1"/>
    <xf numFmtId="0" fontId="7" fillId="5" borderId="7" xfId="0" applyFont="1" applyFill="1" applyBorder="1"/>
    <xf numFmtId="0" fontId="7" fillId="5" borderId="8" xfId="0" applyFont="1" applyFill="1" applyBorder="1"/>
    <xf numFmtId="0" fontId="7" fillId="5" borderId="9" xfId="0" applyFont="1" applyFill="1" applyBorder="1"/>
    <xf numFmtId="0" fontId="13" fillId="6" borderId="4" xfId="0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vertical="center"/>
    </xf>
    <xf numFmtId="0" fontId="7" fillId="5" borderId="5" xfId="0" applyFont="1" applyFill="1" applyBorder="1"/>
    <xf numFmtId="0" fontId="7" fillId="5" borderId="10" xfId="0" applyFont="1" applyFill="1" applyBorder="1"/>
    <xf numFmtId="0" fontId="15" fillId="3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 wrapText="1"/>
    </xf>
    <xf numFmtId="0" fontId="11" fillId="5" borderId="5" xfId="0" applyFont="1" applyFill="1" applyBorder="1" applyAlignment="1">
      <alignment vertical="center"/>
    </xf>
    <xf numFmtId="0" fontId="15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7" fillId="5" borderId="28" xfId="0" applyFont="1" applyFill="1" applyBorder="1"/>
    <xf numFmtId="0" fontId="7" fillId="5" borderId="29" xfId="0" applyFont="1" applyFill="1" applyBorder="1"/>
    <xf numFmtId="0" fontId="7" fillId="5" borderId="30" xfId="0" applyFont="1" applyFill="1" applyBorder="1"/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49" fontId="7" fillId="0" borderId="0" xfId="0" applyNumberFormat="1" applyFont="1"/>
    <xf numFmtId="0" fontId="20" fillId="3" borderId="4" xfId="0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164" fontId="6" fillId="3" borderId="4" xfId="0" applyNumberFormat="1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/>
    <xf numFmtId="0" fontId="11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49" fontId="11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6" xfId="0" applyFont="1" applyBorder="1"/>
    <xf numFmtId="0" fontId="4" fillId="0" borderId="17" xfId="0" applyFont="1" applyBorder="1"/>
    <xf numFmtId="0" fontId="4" fillId="0" borderId="19" xfId="0" applyFont="1" applyBorder="1"/>
    <xf numFmtId="0" fontId="4" fillId="0" borderId="20" xfId="0" applyFont="1" applyBorder="1"/>
    <xf numFmtId="49" fontId="11" fillId="3" borderId="12" xfId="0" applyNumberFormat="1" applyFont="1" applyFill="1" applyBorder="1" applyAlignment="1">
      <alignment horizontal="left" vertical="center" wrapText="1"/>
    </xf>
    <xf numFmtId="0" fontId="4" fillId="0" borderId="14" xfId="0" applyFont="1" applyBorder="1"/>
    <xf numFmtId="0" fontId="4" fillId="0" borderId="21" xfId="0" applyFont="1" applyBorder="1"/>
    <xf numFmtId="0" fontId="11" fillId="3" borderId="1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8" xfId="0" applyFont="1" applyBorder="1"/>
    <xf numFmtId="0" fontId="15" fillId="2" borderId="22" xfId="0" applyFont="1" applyFill="1" applyBorder="1" applyAlignment="1">
      <alignment horizontal="center" vertical="center"/>
    </xf>
    <xf numFmtId="0" fontId="4" fillId="0" borderId="23" xfId="0" applyFont="1" applyBorder="1"/>
    <xf numFmtId="0" fontId="4" fillId="0" borderId="24" xfId="0" applyFont="1" applyBorder="1"/>
    <xf numFmtId="0" fontId="4" fillId="0" borderId="25" xfId="0" applyFont="1" applyBorder="1"/>
    <xf numFmtId="0" fontId="4" fillId="0" borderId="26" xfId="0" applyFont="1" applyBorder="1"/>
    <xf numFmtId="0" fontId="4" fillId="0" borderId="27" xfId="0" applyFont="1" applyBorder="1"/>
    <xf numFmtId="0" fontId="16" fillId="8" borderId="12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4" fillId="0" borderId="3" xfId="0" applyFont="1" applyBorder="1"/>
    <xf numFmtId="0" fontId="11" fillId="3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49" fontId="11" fillId="0" borderId="0" xfId="0" applyNumberFormat="1" applyFont="1" applyAlignment="1">
      <alignment wrapText="1"/>
    </xf>
    <xf numFmtId="0" fontId="7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49" fontId="17" fillId="0" borderId="0" xfId="0" applyNumberFormat="1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7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0" fontId="11" fillId="3" borderId="12" xfId="0" applyFont="1" applyFill="1" applyBorder="1" applyAlignment="1">
      <alignment horizontal="left" vertical="center" wrapText="1"/>
    </xf>
    <xf numFmtId="0" fontId="4" fillId="0" borderId="14" xfId="0" applyFont="1" applyBorder="1" applyAlignment="1">
      <alignment wrapText="1"/>
    </xf>
    <xf numFmtId="0" fontId="4" fillId="0" borderId="13" xfId="0" applyFont="1" applyBorder="1" applyAlignment="1">
      <alignment wrapText="1"/>
    </xf>
    <xf numFmtId="0" fontId="4" fillId="0" borderId="16" xfId="0" applyFont="1" applyBorder="1" applyAlignment="1">
      <alignment wrapText="1"/>
    </xf>
    <xf numFmtId="0" fontId="0" fillId="0" borderId="0" xfId="0" applyAlignment="1">
      <alignment wrapText="1"/>
    </xf>
    <xf numFmtId="0" fontId="4" fillId="0" borderId="17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0" xfId="0" applyFont="1" applyBorder="1" applyAlignment="1">
      <alignment wrapText="1"/>
    </xf>
    <xf numFmtId="0" fontId="6" fillId="3" borderId="4" xfId="1" applyFont="1" applyFill="1" applyBorder="1" applyAlignment="1">
      <alignment horizontal="center" vertical="center" wrapText="1"/>
    </xf>
    <xf numFmtId="49" fontId="6" fillId="3" borderId="4" xfId="1" applyNumberFormat="1" applyFont="1" applyFill="1" applyBorder="1" applyAlignment="1">
      <alignment horizontal="center" vertical="center" wrapText="1"/>
    </xf>
    <xf numFmtId="0" fontId="6" fillId="4" borderId="4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5A0829D0-E586-4D13-9F91-F431C5419386}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314325</xdr:colOff>
      <xdr:row>8</xdr:row>
      <xdr:rowOff>257175</xdr:rowOff>
    </xdr:from>
    <xdr:to>
      <xdr:col>14</xdr:col>
      <xdr:colOff>647700</xdr:colOff>
      <xdr:row>12</xdr:row>
      <xdr:rowOff>142875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C164F43-D2C2-2045-7ACE-623D0626D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48900" y="1200150"/>
          <a:ext cx="115252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4"/>
  <sheetViews>
    <sheetView showGridLines="0" tabSelected="1" view="pageBreakPreview" topLeftCell="A4" zoomScale="60" zoomScaleNormal="70" workbookViewId="0">
      <selection activeCell="D6" sqref="D6"/>
    </sheetView>
  </sheetViews>
  <sheetFormatPr baseColWidth="10" defaultColWidth="12.75" defaultRowHeight="15" customHeight="1" x14ac:dyDescent="0.2"/>
  <cols>
    <col min="1" max="1" width="4.75" customWidth="1"/>
    <col min="2" max="2" width="9.625" customWidth="1"/>
    <col min="3" max="3" width="25.25" customWidth="1"/>
    <col min="4" max="4" width="31.25" customWidth="1"/>
    <col min="5" max="5" width="20.75" customWidth="1"/>
    <col min="6" max="6" width="13.25" customWidth="1"/>
    <col min="7" max="7" width="39.75" customWidth="1"/>
    <col min="8" max="12" width="10.75" customWidth="1"/>
    <col min="13" max="13" width="32.75" customWidth="1"/>
    <col min="14" max="15" width="20.75" customWidth="1"/>
    <col min="16" max="26" width="9.375" customWidth="1"/>
  </cols>
  <sheetData>
    <row r="1" spans="1:26" ht="16.5" x14ac:dyDescent="0.3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x14ac:dyDescent="0.3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3">
      <c r="A3" s="1"/>
      <c r="B3" s="108" t="s">
        <v>0</v>
      </c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4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x14ac:dyDescent="0.3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3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9.9" customHeight="1" x14ac:dyDescent="0.3">
      <c r="A6" s="5"/>
      <c r="B6" s="6" t="s">
        <v>15</v>
      </c>
      <c r="C6" s="118" t="s">
        <v>77</v>
      </c>
      <c r="D6" s="118" t="s">
        <v>78</v>
      </c>
      <c r="E6" s="118" t="s">
        <v>80</v>
      </c>
      <c r="F6" s="118" t="s">
        <v>81</v>
      </c>
      <c r="G6" s="118" t="s">
        <v>79</v>
      </c>
      <c r="H6" s="118" t="s">
        <v>39</v>
      </c>
      <c r="I6" s="118">
        <v>6</v>
      </c>
      <c r="J6" s="59" t="s">
        <v>37</v>
      </c>
      <c r="K6" s="118" t="s">
        <v>16</v>
      </c>
      <c r="L6" s="118" t="s">
        <v>21</v>
      </c>
      <c r="M6" s="119" t="s">
        <v>82</v>
      </c>
      <c r="N6" s="118" t="s">
        <v>83</v>
      </c>
      <c r="O6" s="120" t="s">
        <v>84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09.9" customHeight="1" x14ac:dyDescent="0.3">
      <c r="A7" s="5"/>
      <c r="B7" s="6" t="s">
        <v>18</v>
      </c>
      <c r="C7" s="6" t="s">
        <v>40</v>
      </c>
      <c r="D7" s="6" t="s">
        <v>41</v>
      </c>
      <c r="E7" s="6" t="s">
        <v>69</v>
      </c>
      <c r="F7" s="6" t="s">
        <v>62</v>
      </c>
      <c r="G7" s="6" t="s">
        <v>51</v>
      </c>
      <c r="H7" s="6" t="s">
        <v>38</v>
      </c>
      <c r="I7" s="6">
        <v>6</v>
      </c>
      <c r="J7" s="59" t="s">
        <v>37</v>
      </c>
      <c r="K7" s="6" t="s">
        <v>16</v>
      </c>
      <c r="L7" s="6" t="s">
        <v>21</v>
      </c>
      <c r="M7" s="7" t="s">
        <v>64</v>
      </c>
      <c r="N7" s="6" t="s">
        <v>73</v>
      </c>
      <c r="O7" s="8" t="s">
        <v>63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09.9" customHeight="1" x14ac:dyDescent="0.3">
      <c r="A8" s="5"/>
      <c r="B8" s="6" t="s">
        <v>19</v>
      </c>
      <c r="C8" s="6" t="s">
        <v>44</v>
      </c>
      <c r="D8" s="6" t="s">
        <v>45</v>
      </c>
      <c r="E8" s="6" t="s">
        <v>70</v>
      </c>
      <c r="F8" s="6" t="s">
        <v>62</v>
      </c>
      <c r="G8" s="6" t="s">
        <v>66</v>
      </c>
      <c r="H8" s="6" t="s">
        <v>38</v>
      </c>
      <c r="I8" s="6">
        <v>4</v>
      </c>
      <c r="J8" s="59" t="s">
        <v>37</v>
      </c>
      <c r="K8" s="6" t="s">
        <v>16</v>
      </c>
      <c r="L8" s="6" t="s">
        <v>21</v>
      </c>
      <c r="M8" s="7" t="s">
        <v>53</v>
      </c>
      <c r="N8" s="6" t="s">
        <v>74</v>
      </c>
      <c r="O8" s="8" t="s">
        <v>57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09.9" customHeight="1" x14ac:dyDescent="0.3">
      <c r="A9" s="5"/>
      <c r="B9" s="6" t="s">
        <v>20</v>
      </c>
      <c r="C9" s="6" t="s">
        <v>42</v>
      </c>
      <c r="D9" s="6" t="s">
        <v>43</v>
      </c>
      <c r="E9" s="6" t="s">
        <v>71</v>
      </c>
      <c r="F9" s="6" t="s">
        <v>62</v>
      </c>
      <c r="G9" s="6" t="s">
        <v>67</v>
      </c>
      <c r="H9" s="6" t="s">
        <v>39</v>
      </c>
      <c r="I9" s="6">
        <v>6</v>
      </c>
      <c r="J9" s="59" t="s">
        <v>37</v>
      </c>
      <c r="K9" s="6" t="s">
        <v>16</v>
      </c>
      <c r="L9" s="6" t="s">
        <v>21</v>
      </c>
      <c r="M9" s="7" t="s">
        <v>54</v>
      </c>
      <c r="N9" s="6" t="s">
        <v>60</v>
      </c>
      <c r="O9" s="8" t="s">
        <v>65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9.9" customHeight="1" x14ac:dyDescent="0.3">
      <c r="A10" s="5"/>
      <c r="B10" s="6" t="s">
        <v>22</v>
      </c>
      <c r="C10" s="6" t="s">
        <v>47</v>
      </c>
      <c r="D10" s="6" t="s">
        <v>48</v>
      </c>
      <c r="E10" s="6" t="s">
        <v>72</v>
      </c>
      <c r="F10" s="6" t="s">
        <v>62</v>
      </c>
      <c r="G10" s="6" t="s">
        <v>68</v>
      </c>
      <c r="H10" s="6" t="s">
        <v>39</v>
      </c>
      <c r="I10" s="6">
        <v>4</v>
      </c>
      <c r="J10" s="59" t="s">
        <v>37</v>
      </c>
      <c r="K10" s="6" t="s">
        <v>16</v>
      </c>
      <c r="L10" s="6" t="s">
        <v>21</v>
      </c>
      <c r="M10" s="7" t="s">
        <v>55</v>
      </c>
      <c r="N10" s="6" t="s">
        <v>75</v>
      </c>
      <c r="O10" s="8" t="s">
        <v>58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9.9" customHeight="1" x14ac:dyDescent="0.3">
      <c r="A11" s="5"/>
      <c r="B11" s="6" t="s">
        <v>76</v>
      </c>
      <c r="C11" s="6" t="s">
        <v>46</v>
      </c>
      <c r="D11" s="60" t="s">
        <v>49</v>
      </c>
      <c r="E11" s="6" t="s">
        <v>50</v>
      </c>
      <c r="F11" s="6" t="s">
        <v>62</v>
      </c>
      <c r="G11" s="6" t="s">
        <v>52</v>
      </c>
      <c r="H11" s="6" t="s">
        <v>38</v>
      </c>
      <c r="I11" s="6">
        <v>4</v>
      </c>
      <c r="J11" s="59" t="s">
        <v>37</v>
      </c>
      <c r="K11" s="6" t="s">
        <v>16</v>
      </c>
      <c r="L11" s="6" t="s">
        <v>21</v>
      </c>
      <c r="M11" s="7" t="s">
        <v>56</v>
      </c>
      <c r="N11" s="6" t="s">
        <v>61</v>
      </c>
      <c r="O11" s="8" t="s">
        <v>59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09.9" customHeight="1" x14ac:dyDescent="0.3">
      <c r="A12" s="5"/>
      <c r="B12" s="6"/>
      <c r="C12" s="56"/>
      <c r="D12" s="56"/>
      <c r="E12" s="56"/>
      <c r="F12" s="56"/>
      <c r="G12" s="56"/>
      <c r="H12" s="56"/>
      <c r="I12" s="6"/>
      <c r="J12" s="59"/>
      <c r="K12" s="6"/>
      <c r="L12" s="6"/>
      <c r="M12" s="57"/>
      <c r="N12" s="56"/>
      <c r="O12" s="5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09.9" customHeight="1" x14ac:dyDescent="0.3">
      <c r="A13" s="5"/>
      <c r="B13" s="6"/>
      <c r="C13" s="6"/>
      <c r="D13" s="11"/>
      <c r="E13" s="6"/>
      <c r="F13" s="6"/>
      <c r="G13" s="11"/>
      <c r="H13" s="6"/>
      <c r="I13" s="6"/>
      <c r="J13" s="10"/>
      <c r="K13" s="6"/>
      <c r="L13" s="6"/>
      <c r="M13" s="6"/>
      <c r="N13" s="6"/>
      <c r="O13" s="1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70.5" customHeight="1" x14ac:dyDescent="0.3">
      <c r="A14" s="5"/>
      <c r="B14" s="6"/>
      <c r="C14" s="6"/>
      <c r="D14" s="11"/>
      <c r="E14" s="6"/>
      <c r="F14" s="6"/>
      <c r="G14" s="11"/>
      <c r="H14" s="6"/>
      <c r="I14" s="6"/>
      <c r="J14" s="10"/>
      <c r="K14" s="6"/>
      <c r="L14" s="6"/>
      <c r="M14" s="6"/>
      <c r="N14" s="6"/>
      <c r="O14" s="12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61.5" customHeight="1" x14ac:dyDescent="0.3">
      <c r="A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8.5" customHeight="1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.75" customHeight="1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75" customHeight="1" x14ac:dyDescent="0.3">
      <c r="A19" s="5"/>
      <c r="B19" s="13"/>
      <c r="C19" s="14"/>
      <c r="D19" s="14"/>
      <c r="E19" s="5"/>
      <c r="F19" s="14"/>
      <c r="G19" s="14"/>
      <c r="H19" s="14"/>
      <c r="I19" s="15"/>
      <c r="J19" s="16"/>
      <c r="K19" s="15"/>
      <c r="L19" s="15"/>
      <c r="M19" s="14"/>
      <c r="N19" s="14"/>
      <c r="O19" s="17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75" customHeight="1" x14ac:dyDescent="0.3">
      <c r="A20" s="5"/>
      <c r="B20" s="13"/>
      <c r="C20" s="14"/>
      <c r="D20" s="14"/>
      <c r="E20" s="14"/>
      <c r="F20" s="14"/>
      <c r="G20" s="14"/>
      <c r="H20" s="14"/>
      <c r="I20" s="15"/>
      <c r="J20" s="16"/>
      <c r="K20" s="15"/>
      <c r="L20" s="15"/>
      <c r="M20" s="14"/>
      <c r="N20" s="18"/>
      <c r="O20" s="17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75" customHeight="1" x14ac:dyDescent="0.3">
      <c r="A21" s="5"/>
      <c r="B21" s="13"/>
      <c r="C21" s="14"/>
      <c r="D21" s="14"/>
      <c r="E21" s="5"/>
      <c r="F21" s="14"/>
      <c r="G21" s="14"/>
      <c r="H21" s="14"/>
      <c r="I21" s="15"/>
      <c r="J21" s="16"/>
      <c r="K21" s="15"/>
      <c r="L21" s="15"/>
      <c r="M21" s="14"/>
      <c r="N21" s="14"/>
      <c r="O21" s="17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75" customHeight="1" x14ac:dyDescent="0.3">
      <c r="A22" s="5"/>
      <c r="B22" s="13"/>
      <c r="C22" s="14"/>
      <c r="D22" s="14"/>
      <c r="E22" s="14"/>
      <c r="F22" s="14"/>
      <c r="G22" s="14"/>
      <c r="H22" s="14"/>
      <c r="I22" s="15"/>
      <c r="J22" s="16"/>
      <c r="K22" s="15"/>
      <c r="L22" s="15"/>
      <c r="M22" s="18"/>
      <c r="N22" s="14"/>
      <c r="O22" s="17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3">
      <c r="A23" s="5"/>
      <c r="B23" s="13"/>
      <c r="C23" s="14"/>
      <c r="D23" s="14"/>
      <c r="E23" s="14"/>
      <c r="F23" s="14"/>
      <c r="G23" s="14"/>
      <c r="H23" s="14"/>
      <c r="I23" s="15"/>
      <c r="J23" s="16"/>
      <c r="K23" s="15"/>
      <c r="L23" s="15"/>
      <c r="M23" s="14" t="s">
        <v>24</v>
      </c>
      <c r="N23" s="14"/>
      <c r="O23" s="19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3">
      <c r="A24" s="5"/>
      <c r="B24" s="5"/>
      <c r="C24" s="5"/>
      <c r="D24" s="5"/>
      <c r="E24" s="5"/>
      <c r="F24" s="5"/>
      <c r="G24" s="5"/>
      <c r="H24" s="5"/>
      <c r="I24" s="20"/>
      <c r="J24" s="20"/>
      <c r="K24" s="21"/>
      <c r="L24" s="20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3">
      <c r="A25" s="5"/>
      <c r="B25" s="5"/>
      <c r="C25" s="5"/>
      <c r="D25" s="5"/>
      <c r="E25" s="5"/>
      <c r="F25" s="5"/>
      <c r="G25" s="5"/>
      <c r="H25" s="5"/>
      <c r="I25" s="20"/>
      <c r="J25" s="20"/>
      <c r="K25" s="21"/>
      <c r="L25" s="20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3">
      <c r="A26" s="5"/>
      <c r="B26" s="5"/>
      <c r="C26" s="5"/>
      <c r="D26" s="5"/>
      <c r="E26" s="5"/>
      <c r="F26" s="5"/>
      <c r="G26" s="5"/>
      <c r="H26" s="18"/>
      <c r="I26" s="20"/>
      <c r="J26" s="20"/>
      <c r="K26" s="21"/>
      <c r="L26" s="20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3">
      <c r="A27" s="5"/>
      <c r="B27" s="5"/>
      <c r="C27" s="5"/>
      <c r="D27" s="5"/>
      <c r="E27" s="5"/>
      <c r="F27" s="5"/>
      <c r="G27" s="5"/>
      <c r="H27" s="5"/>
      <c r="I27" s="20"/>
      <c r="J27" s="20"/>
      <c r="K27" s="21"/>
      <c r="L27" s="20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3">
      <c r="A28" s="5"/>
      <c r="B28" s="5"/>
      <c r="C28" s="5"/>
      <c r="D28" s="5"/>
      <c r="E28" s="5"/>
      <c r="F28" s="5"/>
      <c r="G28" s="5"/>
      <c r="H28" s="5"/>
      <c r="I28" s="20"/>
      <c r="J28" s="20"/>
      <c r="K28" s="22"/>
      <c r="L28" s="20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3">
      <c r="A29" s="5"/>
      <c r="B29" s="5"/>
      <c r="C29" s="5"/>
      <c r="D29" s="5"/>
      <c r="E29" s="5"/>
      <c r="F29" s="5"/>
      <c r="G29" s="5"/>
      <c r="H29" s="5"/>
      <c r="I29" s="20"/>
      <c r="J29" s="20"/>
      <c r="K29" s="22"/>
      <c r="L29" s="20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3">
      <c r="A30" s="5"/>
      <c r="B30" s="5"/>
      <c r="C30" s="5"/>
      <c r="D30" s="5"/>
      <c r="E30" s="5"/>
      <c r="F30" s="5"/>
      <c r="G30" s="5"/>
      <c r="H30" s="5"/>
      <c r="I30" s="20"/>
      <c r="J30" s="20"/>
      <c r="K30" s="21"/>
      <c r="L30" s="20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3">
      <c r="A31" s="5"/>
      <c r="B31" s="5"/>
      <c r="C31" s="5"/>
      <c r="D31" s="5"/>
      <c r="E31" s="5"/>
      <c r="F31" s="5"/>
      <c r="G31" s="5"/>
      <c r="H31" s="5"/>
      <c r="I31" s="20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3">
      <c r="A32" s="5"/>
      <c r="B32" s="5"/>
      <c r="C32" s="5"/>
      <c r="D32" s="5"/>
      <c r="E32" s="5"/>
      <c r="F32" s="5"/>
      <c r="G32" s="5"/>
      <c r="H32" s="5"/>
      <c r="I32" s="20"/>
      <c r="J32" s="5"/>
      <c r="K32" s="5"/>
      <c r="L32" s="5"/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3">
      <c r="A33" s="5"/>
      <c r="B33" s="5"/>
      <c r="C33" s="5"/>
      <c r="D33" s="5"/>
      <c r="E33" s="5"/>
      <c r="F33" s="5"/>
      <c r="G33" s="5"/>
      <c r="H33" s="5"/>
      <c r="I33" s="20"/>
      <c r="J33" s="5"/>
      <c r="K33" s="21" t="s">
        <v>16</v>
      </c>
      <c r="L33" s="21" t="s">
        <v>21</v>
      </c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3">
      <c r="A34" s="5"/>
      <c r="B34" s="5"/>
      <c r="C34" s="5"/>
      <c r="D34" s="5"/>
      <c r="E34" s="5"/>
      <c r="F34" s="5"/>
      <c r="G34" s="5"/>
      <c r="H34" s="5"/>
      <c r="I34" s="20"/>
      <c r="J34" s="5"/>
      <c r="K34" s="21" t="s">
        <v>23</v>
      </c>
      <c r="L34" s="21" t="s">
        <v>17</v>
      </c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 x14ac:dyDescent="0.3">
      <c r="A35" s="5"/>
      <c r="B35" s="5"/>
      <c r="C35" s="5"/>
      <c r="D35" s="5"/>
      <c r="E35" s="5"/>
      <c r="F35" s="5"/>
      <c r="G35" s="5"/>
      <c r="H35" s="5"/>
      <c r="I35" s="20"/>
      <c r="J35" s="5"/>
      <c r="K35" s="21" t="s">
        <v>25</v>
      </c>
      <c r="L35" s="21" t="s">
        <v>26</v>
      </c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 x14ac:dyDescent="0.3">
      <c r="A36" s="5"/>
      <c r="B36" s="5"/>
      <c r="C36" s="5"/>
      <c r="D36" s="5"/>
      <c r="E36" s="5"/>
      <c r="F36" s="5"/>
      <c r="G36" s="5"/>
      <c r="H36" s="5"/>
      <c r="I36" s="20"/>
      <c r="J36" s="5"/>
      <c r="K36" s="21"/>
      <c r="L36" s="21" t="s">
        <v>27</v>
      </c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9.5" customHeight="1" x14ac:dyDescent="0.3">
      <c r="A37" s="5"/>
      <c r="B37" s="5"/>
      <c r="C37" s="5"/>
      <c r="D37" s="5"/>
      <c r="E37" s="5"/>
      <c r="F37" s="5"/>
      <c r="G37" s="5"/>
      <c r="H37" s="5"/>
      <c r="I37" s="20"/>
      <c r="J37" s="5"/>
      <c r="K37" s="5"/>
      <c r="L37" s="5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5"/>
      <c r="I38" s="20"/>
      <c r="J38" s="5"/>
      <c r="K38" s="5"/>
      <c r="L38" s="5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5"/>
      <c r="I39" s="20"/>
      <c r="J39" s="5"/>
      <c r="K39" s="5"/>
      <c r="L39" s="5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5"/>
      <c r="I40" s="20"/>
      <c r="J40" s="5"/>
      <c r="K40" s="5"/>
      <c r="L40" s="5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5"/>
      <c r="I41" s="20"/>
      <c r="J41" s="20"/>
      <c r="K41" s="21"/>
      <c r="L41" s="20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5"/>
      <c r="I42" s="20"/>
      <c r="J42" s="20"/>
      <c r="K42" s="21"/>
      <c r="L42" s="20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5"/>
      <c r="I43" s="20"/>
      <c r="J43" s="20"/>
      <c r="K43" s="21"/>
      <c r="L43" s="20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5"/>
      <c r="I44" s="20"/>
      <c r="J44" s="20"/>
      <c r="K44" s="21"/>
      <c r="L44" s="20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5"/>
      <c r="I45" s="20"/>
      <c r="J45" s="20"/>
      <c r="K45" s="21"/>
      <c r="L45" s="20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5"/>
      <c r="I46" s="20"/>
      <c r="J46" s="20"/>
      <c r="K46" s="21"/>
      <c r="L46" s="20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5"/>
      <c r="I47" s="20"/>
      <c r="J47" s="20"/>
      <c r="K47" s="21"/>
      <c r="L47" s="20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5"/>
      <c r="I48" s="20"/>
      <c r="J48" s="20"/>
      <c r="K48" s="21"/>
      <c r="L48" s="20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5"/>
      <c r="I49" s="20"/>
      <c r="J49" s="20"/>
      <c r="K49" s="21"/>
      <c r="L49" s="20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5"/>
      <c r="I50" s="20"/>
      <c r="J50" s="20"/>
      <c r="K50" s="21"/>
      <c r="L50" s="20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5"/>
      <c r="I51" s="20"/>
      <c r="J51" s="20"/>
      <c r="K51" s="21"/>
      <c r="L51" s="20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5"/>
      <c r="I52" s="20"/>
      <c r="J52" s="20"/>
      <c r="K52" s="21"/>
      <c r="L52" s="20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5"/>
      <c r="I53" s="20"/>
      <c r="J53" s="20"/>
      <c r="K53" s="21"/>
      <c r="L53" s="20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5"/>
      <c r="I54" s="20"/>
      <c r="J54" s="20"/>
      <c r="K54" s="21"/>
      <c r="L54" s="20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5"/>
      <c r="I55" s="20"/>
      <c r="J55" s="20"/>
      <c r="K55" s="21"/>
      <c r="L55" s="20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5"/>
      <c r="I56" s="20"/>
      <c r="J56" s="20"/>
      <c r="K56" s="21"/>
      <c r="L56" s="20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5"/>
      <c r="I57" s="20"/>
      <c r="J57" s="20"/>
      <c r="K57" s="21"/>
      <c r="L57" s="20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5"/>
      <c r="I58" s="20"/>
      <c r="J58" s="20"/>
      <c r="K58" s="21"/>
      <c r="L58" s="20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5"/>
      <c r="I59" s="20"/>
      <c r="J59" s="20"/>
      <c r="K59" s="21"/>
      <c r="L59" s="20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5"/>
      <c r="I60" s="20"/>
      <c r="J60" s="20"/>
      <c r="K60" s="21"/>
      <c r="L60" s="20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5"/>
      <c r="I61" s="20"/>
      <c r="J61" s="20"/>
      <c r="K61" s="21"/>
      <c r="L61" s="20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5"/>
      <c r="I62" s="20"/>
      <c r="J62" s="20"/>
      <c r="K62" s="21"/>
      <c r="L62" s="20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5"/>
      <c r="I63" s="20"/>
      <c r="J63" s="20"/>
      <c r="K63" s="21"/>
      <c r="L63" s="20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5"/>
      <c r="I64" s="20"/>
      <c r="J64" s="20"/>
      <c r="K64" s="21"/>
      <c r="L64" s="20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5"/>
      <c r="I65" s="20"/>
      <c r="J65" s="20"/>
      <c r="K65" s="21"/>
      <c r="L65" s="20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5"/>
      <c r="I66" s="20"/>
      <c r="J66" s="20"/>
      <c r="K66" s="21"/>
      <c r="L66" s="20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5"/>
      <c r="I67" s="20"/>
      <c r="J67" s="20"/>
      <c r="K67" s="21"/>
      <c r="L67" s="20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5"/>
      <c r="I68" s="20"/>
      <c r="J68" s="20"/>
      <c r="K68" s="21"/>
      <c r="L68" s="20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5"/>
      <c r="I69" s="20"/>
      <c r="J69" s="20"/>
      <c r="K69" s="21"/>
      <c r="L69" s="20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5"/>
      <c r="I70" s="20"/>
      <c r="J70" s="20"/>
      <c r="K70" s="21"/>
      <c r="L70" s="20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5"/>
      <c r="I71" s="20"/>
      <c r="J71" s="20"/>
      <c r="K71" s="21"/>
      <c r="L71" s="20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5"/>
      <c r="I72" s="20"/>
      <c r="J72" s="20"/>
      <c r="K72" s="21"/>
      <c r="L72" s="20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5"/>
      <c r="I73" s="20"/>
      <c r="J73" s="20"/>
      <c r="K73" s="21"/>
      <c r="L73" s="20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5"/>
      <c r="I74" s="20"/>
      <c r="J74" s="20"/>
      <c r="K74" s="21"/>
      <c r="L74" s="20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5"/>
      <c r="I75" s="20"/>
      <c r="J75" s="20"/>
      <c r="K75" s="21"/>
      <c r="L75" s="20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5"/>
      <c r="I76" s="20"/>
      <c r="J76" s="20"/>
      <c r="K76" s="21"/>
      <c r="L76" s="20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5"/>
      <c r="I77" s="20"/>
      <c r="J77" s="20"/>
      <c r="K77" s="21"/>
      <c r="L77" s="20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5"/>
      <c r="I78" s="20"/>
      <c r="J78" s="20"/>
      <c r="K78" s="21"/>
      <c r="L78" s="20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5"/>
      <c r="I79" s="20"/>
      <c r="J79" s="20"/>
      <c r="K79" s="21"/>
      <c r="L79" s="20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5"/>
      <c r="I80" s="20"/>
      <c r="J80" s="20"/>
      <c r="K80" s="21"/>
      <c r="L80" s="20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5"/>
      <c r="I81" s="20"/>
      <c r="J81" s="20"/>
      <c r="K81" s="21"/>
      <c r="L81" s="20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5"/>
      <c r="I82" s="20"/>
      <c r="J82" s="20"/>
      <c r="K82" s="21"/>
      <c r="L82" s="20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5"/>
      <c r="I83" s="20"/>
      <c r="J83" s="20"/>
      <c r="K83" s="21"/>
      <c r="L83" s="20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5"/>
      <c r="I84" s="20"/>
      <c r="J84" s="20"/>
      <c r="K84" s="21"/>
      <c r="L84" s="20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5"/>
      <c r="I85" s="20"/>
      <c r="J85" s="20"/>
      <c r="K85" s="21"/>
      <c r="L85" s="20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5"/>
      <c r="I86" s="20"/>
      <c r="J86" s="20"/>
      <c r="K86" s="21"/>
      <c r="L86" s="20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5"/>
      <c r="I87" s="20"/>
      <c r="J87" s="20"/>
      <c r="K87" s="21"/>
      <c r="L87" s="20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5"/>
      <c r="I88" s="20"/>
      <c r="J88" s="20"/>
      <c r="K88" s="21"/>
      <c r="L88" s="20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5"/>
      <c r="I89" s="20"/>
      <c r="J89" s="20"/>
      <c r="K89" s="21"/>
      <c r="L89" s="20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5"/>
      <c r="I90" s="20"/>
      <c r="J90" s="20"/>
      <c r="K90" s="21"/>
      <c r="L90" s="20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5"/>
      <c r="I91" s="20"/>
      <c r="J91" s="20"/>
      <c r="K91" s="21"/>
      <c r="L91" s="20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5"/>
      <c r="I92" s="20"/>
      <c r="J92" s="20"/>
      <c r="K92" s="21"/>
      <c r="L92" s="20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5"/>
      <c r="I93" s="20"/>
      <c r="J93" s="20"/>
      <c r="K93" s="21"/>
      <c r="L93" s="20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5"/>
      <c r="I94" s="20"/>
      <c r="J94" s="20"/>
      <c r="K94" s="21"/>
      <c r="L94" s="20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5"/>
      <c r="I95" s="20"/>
      <c r="J95" s="20"/>
      <c r="K95" s="21"/>
      <c r="L95" s="20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5"/>
      <c r="I96" s="20"/>
      <c r="J96" s="20"/>
      <c r="K96" s="21"/>
      <c r="L96" s="20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5"/>
      <c r="I97" s="20"/>
      <c r="J97" s="20"/>
      <c r="K97" s="21"/>
      <c r="L97" s="20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5"/>
      <c r="I98" s="20"/>
      <c r="J98" s="20"/>
      <c r="K98" s="21"/>
      <c r="L98" s="20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5"/>
      <c r="I99" s="20"/>
      <c r="J99" s="20"/>
      <c r="K99" s="21"/>
      <c r="L99" s="20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5"/>
      <c r="I100" s="20"/>
      <c r="J100" s="20"/>
      <c r="K100" s="21"/>
      <c r="L100" s="20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5"/>
      <c r="I101" s="20"/>
      <c r="J101" s="20"/>
      <c r="K101" s="21"/>
      <c r="L101" s="20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5"/>
      <c r="I102" s="20"/>
      <c r="J102" s="20"/>
      <c r="K102" s="21"/>
      <c r="L102" s="20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5"/>
      <c r="I103" s="20"/>
      <c r="J103" s="20"/>
      <c r="K103" s="21"/>
      <c r="L103" s="20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5"/>
      <c r="I104" s="20"/>
      <c r="J104" s="20"/>
      <c r="K104" s="21"/>
      <c r="L104" s="20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5"/>
      <c r="I105" s="20"/>
      <c r="J105" s="20"/>
      <c r="K105" s="21"/>
      <c r="L105" s="20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5"/>
      <c r="I106" s="20"/>
      <c r="J106" s="20"/>
      <c r="K106" s="21"/>
      <c r="L106" s="20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5"/>
      <c r="I107" s="20"/>
      <c r="J107" s="20"/>
      <c r="K107" s="21"/>
      <c r="L107" s="20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5"/>
      <c r="I108" s="20"/>
      <c r="J108" s="20"/>
      <c r="K108" s="21"/>
      <c r="L108" s="20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5"/>
      <c r="I109" s="20"/>
      <c r="J109" s="20"/>
      <c r="K109" s="21"/>
      <c r="L109" s="20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5"/>
      <c r="I110" s="20"/>
      <c r="J110" s="20"/>
      <c r="K110" s="21"/>
      <c r="L110" s="20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5"/>
      <c r="I111" s="20"/>
      <c r="J111" s="20"/>
      <c r="K111" s="21"/>
      <c r="L111" s="20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5"/>
      <c r="I112" s="20"/>
      <c r="J112" s="20"/>
      <c r="K112" s="21"/>
      <c r="L112" s="20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5"/>
      <c r="I113" s="20"/>
      <c r="J113" s="20"/>
      <c r="K113" s="21"/>
      <c r="L113" s="20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5"/>
      <c r="I114" s="20"/>
      <c r="J114" s="20"/>
      <c r="K114" s="21"/>
      <c r="L114" s="20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5"/>
      <c r="I115" s="20"/>
      <c r="J115" s="20"/>
      <c r="K115" s="21"/>
      <c r="L115" s="20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5"/>
      <c r="I116" s="20"/>
      <c r="J116" s="20"/>
      <c r="K116" s="21"/>
      <c r="L116" s="20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5"/>
      <c r="I117" s="20"/>
      <c r="J117" s="20"/>
      <c r="K117" s="21"/>
      <c r="L117" s="20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5"/>
      <c r="I118" s="20"/>
      <c r="J118" s="20"/>
      <c r="K118" s="21"/>
      <c r="L118" s="20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5"/>
      <c r="I119" s="20"/>
      <c r="J119" s="20"/>
      <c r="K119" s="21"/>
      <c r="L119" s="20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5"/>
      <c r="I120" s="20"/>
      <c r="J120" s="20"/>
      <c r="K120" s="21"/>
      <c r="L120" s="20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5"/>
      <c r="I121" s="20"/>
      <c r="J121" s="20"/>
      <c r="K121" s="21"/>
      <c r="L121" s="20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5"/>
      <c r="I122" s="20"/>
      <c r="J122" s="20"/>
      <c r="K122" s="21"/>
      <c r="L122" s="20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5"/>
      <c r="I123" s="20"/>
      <c r="J123" s="20"/>
      <c r="K123" s="21"/>
      <c r="L123" s="20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5"/>
      <c r="I124" s="20"/>
      <c r="J124" s="20"/>
      <c r="K124" s="21"/>
      <c r="L124" s="20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5"/>
      <c r="I125" s="20"/>
      <c r="J125" s="20"/>
      <c r="K125" s="21"/>
      <c r="L125" s="20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5"/>
      <c r="I126" s="20"/>
      <c r="J126" s="20"/>
      <c r="K126" s="21"/>
      <c r="L126" s="20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5"/>
      <c r="I127" s="20"/>
      <c r="J127" s="20"/>
      <c r="K127" s="21"/>
      <c r="L127" s="20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5"/>
      <c r="I128" s="20"/>
      <c r="J128" s="20"/>
      <c r="K128" s="21"/>
      <c r="L128" s="20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5"/>
      <c r="I129" s="20"/>
      <c r="J129" s="20"/>
      <c r="K129" s="21"/>
      <c r="L129" s="20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5"/>
      <c r="I130" s="20"/>
      <c r="J130" s="20"/>
      <c r="K130" s="21"/>
      <c r="L130" s="20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5"/>
      <c r="I131" s="20"/>
      <c r="J131" s="20"/>
      <c r="K131" s="21"/>
      <c r="L131" s="20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5"/>
      <c r="I132" s="20"/>
      <c r="J132" s="20"/>
      <c r="K132" s="21"/>
      <c r="L132" s="20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5"/>
      <c r="I133" s="20"/>
      <c r="J133" s="20"/>
      <c r="K133" s="21"/>
      <c r="L133" s="20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5"/>
      <c r="I134" s="20"/>
      <c r="J134" s="20"/>
      <c r="K134" s="21"/>
      <c r="L134" s="20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5"/>
      <c r="I135" s="20"/>
      <c r="J135" s="20"/>
      <c r="K135" s="21"/>
      <c r="L135" s="20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5"/>
      <c r="I136" s="20"/>
      <c r="J136" s="20"/>
      <c r="K136" s="21"/>
      <c r="L136" s="20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5"/>
      <c r="I137" s="20"/>
      <c r="J137" s="20"/>
      <c r="K137" s="21"/>
      <c r="L137" s="20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5"/>
      <c r="I138" s="20"/>
      <c r="J138" s="20"/>
      <c r="K138" s="21"/>
      <c r="L138" s="20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5"/>
      <c r="I139" s="20"/>
      <c r="J139" s="20"/>
      <c r="K139" s="21"/>
      <c r="L139" s="20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5"/>
      <c r="I140" s="20"/>
      <c r="J140" s="20"/>
      <c r="K140" s="21"/>
      <c r="L140" s="20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5"/>
      <c r="I141" s="20"/>
      <c r="J141" s="20"/>
      <c r="K141" s="21"/>
      <c r="L141" s="20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5"/>
      <c r="I142" s="20"/>
      <c r="J142" s="20"/>
      <c r="K142" s="21"/>
      <c r="L142" s="20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5"/>
      <c r="I143" s="20"/>
      <c r="J143" s="20"/>
      <c r="K143" s="21"/>
      <c r="L143" s="20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5"/>
      <c r="I144" s="20"/>
      <c r="J144" s="20"/>
      <c r="K144" s="21"/>
      <c r="L144" s="20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5"/>
      <c r="I145" s="20"/>
      <c r="J145" s="20"/>
      <c r="K145" s="21"/>
      <c r="L145" s="20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5"/>
      <c r="I146" s="20"/>
      <c r="J146" s="20"/>
      <c r="K146" s="21"/>
      <c r="L146" s="20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5"/>
      <c r="I147" s="20"/>
      <c r="J147" s="20"/>
      <c r="K147" s="21"/>
      <c r="L147" s="20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5"/>
      <c r="I148" s="20"/>
      <c r="J148" s="20"/>
      <c r="K148" s="21"/>
      <c r="L148" s="20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5"/>
      <c r="I149" s="20"/>
      <c r="J149" s="20"/>
      <c r="K149" s="21"/>
      <c r="L149" s="20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5"/>
      <c r="I150" s="20"/>
      <c r="J150" s="20"/>
      <c r="K150" s="21"/>
      <c r="L150" s="20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5"/>
      <c r="I151" s="20"/>
      <c r="J151" s="20"/>
      <c r="K151" s="21"/>
      <c r="L151" s="20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5"/>
      <c r="I152" s="20"/>
      <c r="J152" s="20"/>
      <c r="K152" s="21"/>
      <c r="L152" s="20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5"/>
      <c r="I153" s="20"/>
      <c r="J153" s="20"/>
      <c r="K153" s="21"/>
      <c r="L153" s="20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5"/>
      <c r="I154" s="20"/>
      <c r="J154" s="20"/>
      <c r="K154" s="21"/>
      <c r="L154" s="20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5"/>
      <c r="I155" s="20"/>
      <c r="J155" s="20"/>
      <c r="K155" s="21"/>
      <c r="L155" s="20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5"/>
      <c r="I156" s="20"/>
      <c r="J156" s="20"/>
      <c r="K156" s="21"/>
      <c r="L156" s="20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5"/>
      <c r="I157" s="20"/>
      <c r="J157" s="20"/>
      <c r="K157" s="21"/>
      <c r="L157" s="20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5"/>
      <c r="I158" s="20"/>
      <c r="J158" s="20"/>
      <c r="K158" s="21"/>
      <c r="L158" s="20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5"/>
      <c r="I159" s="20"/>
      <c r="J159" s="20"/>
      <c r="K159" s="21"/>
      <c r="L159" s="20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5"/>
      <c r="I160" s="20"/>
      <c r="J160" s="20"/>
      <c r="K160" s="21"/>
      <c r="L160" s="20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5"/>
      <c r="I161" s="20"/>
      <c r="J161" s="20"/>
      <c r="K161" s="21"/>
      <c r="L161" s="20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5"/>
      <c r="I162" s="20"/>
      <c r="J162" s="20"/>
      <c r="K162" s="21"/>
      <c r="L162" s="20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5"/>
      <c r="I163" s="20"/>
      <c r="J163" s="20"/>
      <c r="K163" s="21"/>
      <c r="L163" s="20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5"/>
      <c r="I164" s="20"/>
      <c r="J164" s="20"/>
      <c r="K164" s="21"/>
      <c r="L164" s="20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5"/>
      <c r="I165" s="20"/>
      <c r="J165" s="20"/>
      <c r="K165" s="21"/>
      <c r="L165" s="20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5"/>
      <c r="I166" s="20"/>
      <c r="J166" s="20"/>
      <c r="K166" s="21"/>
      <c r="L166" s="20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5"/>
      <c r="I167" s="20"/>
      <c r="J167" s="20"/>
      <c r="K167" s="21"/>
      <c r="L167" s="20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5"/>
      <c r="I168" s="20"/>
      <c r="J168" s="20"/>
      <c r="K168" s="21"/>
      <c r="L168" s="20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5"/>
      <c r="I169" s="20"/>
      <c r="J169" s="20"/>
      <c r="K169" s="21"/>
      <c r="L169" s="20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5"/>
      <c r="I170" s="20"/>
      <c r="J170" s="20"/>
      <c r="K170" s="21"/>
      <c r="L170" s="20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5"/>
      <c r="I171" s="20"/>
      <c r="J171" s="20"/>
      <c r="K171" s="21"/>
      <c r="L171" s="20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5"/>
      <c r="I172" s="20"/>
      <c r="J172" s="20"/>
      <c r="K172" s="21"/>
      <c r="L172" s="20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5"/>
      <c r="I173" s="20"/>
      <c r="J173" s="20"/>
      <c r="K173" s="21"/>
      <c r="L173" s="20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5"/>
      <c r="I174" s="20"/>
      <c r="J174" s="20"/>
      <c r="K174" s="21"/>
      <c r="L174" s="20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5"/>
      <c r="I175" s="20"/>
      <c r="J175" s="20"/>
      <c r="K175" s="21"/>
      <c r="L175" s="20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5"/>
      <c r="I176" s="20"/>
      <c r="J176" s="20"/>
      <c r="K176" s="21"/>
      <c r="L176" s="20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5"/>
      <c r="I177" s="20"/>
      <c r="J177" s="20"/>
      <c r="K177" s="21"/>
      <c r="L177" s="20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5"/>
      <c r="I178" s="20"/>
      <c r="J178" s="20"/>
      <c r="K178" s="21"/>
      <c r="L178" s="20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5"/>
      <c r="I179" s="20"/>
      <c r="J179" s="20"/>
      <c r="K179" s="21"/>
      <c r="L179" s="20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5"/>
      <c r="I180" s="20"/>
      <c r="J180" s="20"/>
      <c r="K180" s="21"/>
      <c r="L180" s="20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5"/>
      <c r="I181" s="20"/>
      <c r="J181" s="20"/>
      <c r="K181" s="21"/>
      <c r="L181" s="20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5"/>
      <c r="I182" s="20"/>
      <c r="J182" s="20"/>
      <c r="K182" s="21"/>
      <c r="L182" s="20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5"/>
      <c r="I183" s="20"/>
      <c r="J183" s="20"/>
      <c r="K183" s="21"/>
      <c r="L183" s="20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5"/>
      <c r="I184" s="20"/>
      <c r="J184" s="20"/>
      <c r="K184" s="21"/>
      <c r="L184" s="20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5"/>
      <c r="I185" s="20"/>
      <c r="J185" s="20"/>
      <c r="K185" s="21"/>
      <c r="L185" s="20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5"/>
      <c r="I186" s="20"/>
      <c r="J186" s="20"/>
      <c r="K186" s="21"/>
      <c r="L186" s="20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5"/>
      <c r="I187" s="20"/>
      <c r="J187" s="20"/>
      <c r="K187" s="21"/>
      <c r="L187" s="20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5"/>
      <c r="I188" s="20"/>
      <c r="J188" s="20"/>
      <c r="K188" s="21"/>
      <c r="L188" s="20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5"/>
      <c r="I189" s="20"/>
      <c r="J189" s="20"/>
      <c r="K189" s="21"/>
      <c r="L189" s="20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5"/>
      <c r="I190" s="20"/>
      <c r="J190" s="20"/>
      <c r="K190" s="21"/>
      <c r="L190" s="20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5"/>
      <c r="I191" s="20"/>
      <c r="J191" s="20"/>
      <c r="K191" s="21"/>
      <c r="L191" s="20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5"/>
      <c r="I192" s="20"/>
      <c r="J192" s="20"/>
      <c r="K192" s="21"/>
      <c r="L192" s="20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5"/>
      <c r="I193" s="20"/>
      <c r="J193" s="20"/>
      <c r="K193" s="21"/>
      <c r="L193" s="20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5"/>
      <c r="I194" s="20"/>
      <c r="J194" s="20"/>
      <c r="K194" s="21"/>
      <c r="L194" s="20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5"/>
      <c r="I195" s="20"/>
      <c r="J195" s="20"/>
      <c r="K195" s="21"/>
      <c r="L195" s="20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5"/>
      <c r="I196" s="20"/>
      <c r="J196" s="20"/>
      <c r="K196" s="21"/>
      <c r="L196" s="20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5"/>
      <c r="I197" s="20"/>
      <c r="J197" s="20"/>
      <c r="K197" s="21"/>
      <c r="L197" s="20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5"/>
      <c r="I198" s="20"/>
      <c r="J198" s="20"/>
      <c r="K198" s="21"/>
      <c r="L198" s="20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5"/>
      <c r="I199" s="20"/>
      <c r="J199" s="20"/>
      <c r="K199" s="21"/>
      <c r="L199" s="20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5"/>
      <c r="I200" s="20"/>
      <c r="J200" s="20"/>
      <c r="K200" s="21"/>
      <c r="L200" s="20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5"/>
      <c r="I201" s="20"/>
      <c r="J201" s="20"/>
      <c r="K201" s="21"/>
      <c r="L201" s="20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5"/>
      <c r="I202" s="20"/>
      <c r="J202" s="20"/>
      <c r="K202" s="21"/>
      <c r="L202" s="20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5"/>
      <c r="I203" s="20"/>
      <c r="J203" s="20"/>
      <c r="K203" s="21"/>
      <c r="L203" s="20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5"/>
      <c r="I204" s="20"/>
      <c r="J204" s="20"/>
      <c r="K204" s="21"/>
      <c r="L204" s="20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5"/>
      <c r="I205" s="20"/>
      <c r="J205" s="20"/>
      <c r="K205" s="21"/>
      <c r="L205" s="20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5"/>
      <c r="I206" s="20"/>
      <c r="J206" s="20"/>
      <c r="K206" s="21"/>
      <c r="L206" s="20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5"/>
      <c r="I207" s="20"/>
      <c r="J207" s="20"/>
      <c r="K207" s="21"/>
      <c r="L207" s="20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5"/>
      <c r="I208" s="20"/>
      <c r="J208" s="20"/>
      <c r="K208" s="21"/>
      <c r="L208" s="20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5"/>
      <c r="I209" s="20"/>
      <c r="J209" s="20"/>
      <c r="K209" s="21"/>
      <c r="L209" s="20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5"/>
      <c r="I210" s="20"/>
      <c r="J210" s="20"/>
      <c r="K210" s="21"/>
      <c r="L210" s="20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5"/>
      <c r="I211" s="20"/>
      <c r="J211" s="20"/>
      <c r="K211" s="21"/>
      <c r="L211" s="20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5"/>
      <c r="I212" s="20"/>
      <c r="J212" s="20"/>
      <c r="K212" s="21"/>
      <c r="L212" s="20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5"/>
      <c r="I213" s="20"/>
      <c r="J213" s="20"/>
      <c r="K213" s="21"/>
      <c r="L213" s="20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5"/>
      <c r="I214" s="20"/>
      <c r="J214" s="20"/>
      <c r="K214" s="21"/>
      <c r="L214" s="20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5"/>
      <c r="I215" s="20"/>
      <c r="J215" s="20"/>
      <c r="K215" s="21"/>
      <c r="L215" s="20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5"/>
      <c r="I216" s="20"/>
      <c r="J216" s="20"/>
      <c r="K216" s="21"/>
      <c r="L216" s="20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5"/>
      <c r="I217" s="20"/>
      <c r="J217" s="20"/>
      <c r="K217" s="21"/>
      <c r="L217" s="20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5"/>
      <c r="I218" s="20"/>
      <c r="J218" s="20"/>
      <c r="K218" s="21"/>
      <c r="L218" s="20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5"/>
      <c r="I219" s="20"/>
      <c r="J219" s="20"/>
      <c r="K219" s="21"/>
      <c r="L219" s="20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5"/>
      <c r="I220" s="20"/>
      <c r="J220" s="20"/>
      <c r="K220" s="21"/>
      <c r="L220" s="20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5"/>
      <c r="I221" s="20"/>
      <c r="J221" s="20"/>
      <c r="K221" s="21"/>
      <c r="L221" s="20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5"/>
      <c r="I222" s="20"/>
      <c r="J222" s="20"/>
      <c r="K222" s="21"/>
      <c r="L222" s="20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5"/>
      <c r="I223" s="20"/>
      <c r="J223" s="20"/>
      <c r="K223" s="21"/>
      <c r="L223" s="20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5"/>
      <c r="I224" s="20"/>
      <c r="J224" s="20"/>
      <c r="K224" s="21"/>
      <c r="L224" s="20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5"/>
      <c r="I225" s="20"/>
      <c r="J225" s="20"/>
      <c r="K225" s="21"/>
      <c r="L225" s="20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5"/>
      <c r="I226" s="20"/>
      <c r="J226" s="20"/>
      <c r="K226" s="21"/>
      <c r="L226" s="20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5"/>
      <c r="I227" s="20"/>
      <c r="J227" s="20"/>
      <c r="K227" s="21"/>
      <c r="L227" s="20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5"/>
      <c r="I228" s="20"/>
      <c r="J228" s="20"/>
      <c r="K228" s="21"/>
      <c r="L228" s="20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5"/>
      <c r="I229" s="20"/>
      <c r="J229" s="20"/>
      <c r="K229" s="21"/>
      <c r="L229" s="20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5"/>
      <c r="I230" s="20"/>
      <c r="J230" s="20"/>
      <c r="K230" s="21"/>
      <c r="L230" s="20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5"/>
      <c r="I231" s="20"/>
      <c r="J231" s="20"/>
      <c r="K231" s="21"/>
      <c r="L231" s="20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5"/>
      <c r="I232" s="20"/>
      <c r="J232" s="20"/>
      <c r="K232" s="21"/>
      <c r="L232" s="20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5"/>
      <c r="I233" s="20"/>
      <c r="J233" s="20"/>
      <c r="K233" s="21"/>
      <c r="L233" s="20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5"/>
      <c r="I234" s="20"/>
      <c r="J234" s="20"/>
      <c r="K234" s="21"/>
      <c r="L234" s="20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5"/>
      <c r="I235" s="20"/>
      <c r="J235" s="20"/>
      <c r="K235" s="21"/>
      <c r="L235" s="20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5"/>
      <c r="I236" s="20"/>
      <c r="J236" s="20"/>
      <c r="K236" s="21"/>
      <c r="L236" s="20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5"/>
      <c r="I237" s="20"/>
      <c r="J237" s="20"/>
      <c r="K237" s="21"/>
      <c r="L237" s="20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5"/>
      <c r="I238" s="20"/>
      <c r="J238" s="20"/>
      <c r="K238" s="21"/>
      <c r="L238" s="20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5"/>
      <c r="I239" s="20"/>
      <c r="J239" s="20"/>
      <c r="K239" s="21"/>
      <c r="L239" s="20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5"/>
      <c r="I240" s="20"/>
      <c r="J240" s="20"/>
      <c r="K240" s="21"/>
      <c r="L240" s="20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5"/>
      <c r="I241" s="20"/>
      <c r="J241" s="20"/>
      <c r="K241" s="21"/>
      <c r="L241" s="20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5"/>
      <c r="I242" s="20"/>
      <c r="J242" s="20"/>
      <c r="K242" s="21"/>
      <c r="L242" s="20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5"/>
      <c r="I243" s="20"/>
      <c r="J243" s="20"/>
      <c r="K243" s="21"/>
      <c r="L243" s="20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5"/>
      <c r="I244" s="20"/>
      <c r="J244" s="20"/>
      <c r="K244" s="21"/>
      <c r="L244" s="20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5"/>
      <c r="I245" s="20"/>
      <c r="J245" s="20"/>
      <c r="K245" s="21"/>
      <c r="L245" s="20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5"/>
      <c r="I246" s="20"/>
      <c r="J246" s="20"/>
      <c r="K246" s="21"/>
      <c r="L246" s="20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5"/>
      <c r="I247" s="20"/>
      <c r="J247" s="20"/>
      <c r="K247" s="21"/>
      <c r="L247" s="20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5"/>
      <c r="I248" s="20"/>
      <c r="J248" s="20"/>
      <c r="K248" s="21"/>
      <c r="L248" s="20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5"/>
      <c r="I249" s="20"/>
      <c r="J249" s="20"/>
      <c r="K249" s="21"/>
      <c r="L249" s="20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5"/>
      <c r="I250" s="20"/>
      <c r="J250" s="20"/>
      <c r="K250" s="21"/>
      <c r="L250" s="20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5"/>
      <c r="I251" s="20"/>
      <c r="J251" s="20"/>
      <c r="K251" s="21"/>
      <c r="L251" s="20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5"/>
      <c r="I252" s="20"/>
      <c r="J252" s="20"/>
      <c r="K252" s="21"/>
      <c r="L252" s="20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5"/>
      <c r="I253" s="20"/>
      <c r="J253" s="20"/>
      <c r="K253" s="21"/>
      <c r="L253" s="20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5"/>
      <c r="I254" s="20"/>
      <c r="J254" s="20"/>
      <c r="K254" s="21"/>
      <c r="L254" s="20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5"/>
      <c r="I255" s="20"/>
      <c r="J255" s="20"/>
      <c r="K255" s="21"/>
      <c r="L255" s="20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5"/>
      <c r="I256" s="20"/>
      <c r="J256" s="20"/>
      <c r="K256" s="21"/>
      <c r="L256" s="20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5"/>
      <c r="I257" s="20"/>
      <c r="J257" s="20"/>
      <c r="K257" s="21"/>
      <c r="L257" s="20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5"/>
      <c r="I258" s="20"/>
      <c r="J258" s="20"/>
      <c r="K258" s="21"/>
      <c r="L258" s="20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5"/>
      <c r="I259" s="20"/>
      <c r="J259" s="20"/>
      <c r="K259" s="21"/>
      <c r="L259" s="20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5"/>
      <c r="I260" s="20"/>
      <c r="J260" s="20"/>
      <c r="K260" s="21"/>
      <c r="L260" s="20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5"/>
      <c r="I261" s="20"/>
      <c r="J261" s="20"/>
      <c r="K261" s="21"/>
      <c r="L261" s="20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5"/>
      <c r="I262" s="20"/>
      <c r="J262" s="20"/>
      <c r="K262" s="21"/>
      <c r="L262" s="20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5"/>
      <c r="I263" s="20"/>
      <c r="J263" s="20"/>
      <c r="K263" s="21"/>
      <c r="L263" s="20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5"/>
      <c r="I264" s="20"/>
      <c r="J264" s="20"/>
      <c r="K264" s="21"/>
      <c r="L264" s="20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5"/>
      <c r="I265" s="20"/>
      <c r="J265" s="20"/>
      <c r="K265" s="21"/>
      <c r="L265" s="20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5"/>
      <c r="I266" s="20"/>
      <c r="J266" s="20"/>
      <c r="K266" s="21"/>
      <c r="L266" s="20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5"/>
      <c r="I267" s="20"/>
      <c r="J267" s="20"/>
      <c r="K267" s="21"/>
      <c r="L267" s="20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5"/>
      <c r="I268" s="20"/>
      <c r="J268" s="20"/>
      <c r="K268" s="21"/>
      <c r="L268" s="20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5"/>
      <c r="I269" s="20"/>
      <c r="J269" s="20"/>
      <c r="K269" s="21"/>
      <c r="L269" s="20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5"/>
      <c r="I270" s="20"/>
      <c r="J270" s="20"/>
      <c r="K270" s="21"/>
      <c r="L270" s="20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5"/>
      <c r="I271" s="20"/>
      <c r="J271" s="20"/>
      <c r="K271" s="21"/>
      <c r="L271" s="20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5"/>
      <c r="I272" s="20"/>
      <c r="J272" s="20"/>
      <c r="K272" s="21"/>
      <c r="L272" s="20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5"/>
      <c r="I273" s="20"/>
      <c r="J273" s="20"/>
      <c r="K273" s="21"/>
      <c r="L273" s="20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5"/>
      <c r="I274" s="20"/>
      <c r="J274" s="20"/>
      <c r="K274" s="21"/>
      <c r="L274" s="20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5"/>
      <c r="I275" s="20"/>
      <c r="J275" s="20"/>
      <c r="K275" s="21"/>
      <c r="L275" s="20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5"/>
      <c r="I276" s="20"/>
      <c r="J276" s="20"/>
      <c r="K276" s="21"/>
      <c r="L276" s="20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5"/>
      <c r="I277" s="20"/>
      <c r="J277" s="20"/>
      <c r="K277" s="21"/>
      <c r="L277" s="20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5"/>
      <c r="I278" s="20"/>
      <c r="J278" s="20"/>
      <c r="K278" s="21"/>
      <c r="L278" s="20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5"/>
      <c r="I279" s="20"/>
      <c r="J279" s="20"/>
      <c r="K279" s="21"/>
      <c r="L279" s="20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5"/>
      <c r="I280" s="20"/>
      <c r="J280" s="20"/>
      <c r="K280" s="21"/>
      <c r="L280" s="20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5"/>
      <c r="I281" s="20"/>
      <c r="J281" s="20"/>
      <c r="K281" s="21"/>
      <c r="L281" s="20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5"/>
      <c r="I282" s="20"/>
      <c r="J282" s="20"/>
      <c r="K282" s="21"/>
      <c r="L282" s="20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5"/>
      <c r="I283" s="20"/>
      <c r="J283" s="20"/>
      <c r="K283" s="21"/>
      <c r="L283" s="20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5"/>
      <c r="I284" s="20"/>
      <c r="J284" s="20"/>
      <c r="K284" s="21"/>
      <c r="L284" s="20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5"/>
      <c r="I285" s="20"/>
      <c r="J285" s="20"/>
      <c r="K285" s="21"/>
      <c r="L285" s="20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5"/>
      <c r="I286" s="20"/>
      <c r="J286" s="20"/>
      <c r="K286" s="21"/>
      <c r="L286" s="20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5"/>
      <c r="I287" s="20"/>
      <c r="J287" s="20"/>
      <c r="K287" s="21"/>
      <c r="L287" s="20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5"/>
      <c r="I288" s="20"/>
      <c r="J288" s="20"/>
      <c r="K288" s="21"/>
      <c r="L288" s="20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5"/>
      <c r="I289" s="20"/>
      <c r="J289" s="20"/>
      <c r="K289" s="21"/>
      <c r="L289" s="20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5"/>
      <c r="I290" s="20"/>
      <c r="J290" s="20"/>
      <c r="K290" s="21"/>
      <c r="L290" s="20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5"/>
      <c r="I291" s="20"/>
      <c r="J291" s="20"/>
      <c r="K291" s="21"/>
      <c r="L291" s="20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5"/>
      <c r="I292" s="20"/>
      <c r="J292" s="20"/>
      <c r="K292" s="21"/>
      <c r="L292" s="20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5"/>
      <c r="I293" s="20"/>
      <c r="J293" s="20"/>
      <c r="K293" s="21"/>
      <c r="L293" s="20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5"/>
      <c r="I294" s="20"/>
      <c r="J294" s="20"/>
      <c r="K294" s="21"/>
      <c r="L294" s="20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5"/>
      <c r="I295" s="20"/>
      <c r="J295" s="20"/>
      <c r="K295" s="21"/>
      <c r="L295" s="20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5"/>
      <c r="I296" s="20"/>
      <c r="J296" s="20"/>
      <c r="K296" s="21"/>
      <c r="L296" s="20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5"/>
      <c r="I297" s="20"/>
      <c r="J297" s="20"/>
      <c r="K297" s="21"/>
      <c r="L297" s="20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5"/>
      <c r="I298" s="20"/>
      <c r="J298" s="20"/>
      <c r="K298" s="21"/>
      <c r="L298" s="20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5"/>
      <c r="I299" s="20"/>
      <c r="J299" s="20"/>
      <c r="K299" s="21"/>
      <c r="L299" s="20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5"/>
      <c r="I300" s="20"/>
      <c r="J300" s="20"/>
      <c r="K300" s="21"/>
      <c r="L300" s="20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5"/>
      <c r="I301" s="20"/>
      <c r="J301" s="20"/>
      <c r="K301" s="21"/>
      <c r="L301" s="20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5"/>
      <c r="I302" s="20"/>
      <c r="J302" s="20"/>
      <c r="K302" s="21"/>
      <c r="L302" s="20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5"/>
      <c r="I303" s="20"/>
      <c r="J303" s="20"/>
      <c r="K303" s="21"/>
      <c r="L303" s="20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5"/>
      <c r="I304" s="20"/>
      <c r="J304" s="20"/>
      <c r="K304" s="21"/>
      <c r="L304" s="20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5"/>
      <c r="I305" s="20"/>
      <c r="J305" s="20"/>
      <c r="K305" s="21"/>
      <c r="L305" s="20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5"/>
      <c r="I306" s="20"/>
      <c r="J306" s="20"/>
      <c r="K306" s="21"/>
      <c r="L306" s="20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5"/>
      <c r="I307" s="20"/>
      <c r="J307" s="20"/>
      <c r="K307" s="21"/>
      <c r="L307" s="20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5"/>
      <c r="I308" s="20"/>
      <c r="J308" s="20"/>
      <c r="K308" s="21"/>
      <c r="L308" s="20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5"/>
      <c r="I309" s="20"/>
      <c r="J309" s="20"/>
      <c r="K309" s="21"/>
      <c r="L309" s="20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5"/>
      <c r="I310" s="20"/>
      <c r="J310" s="20"/>
      <c r="K310" s="21"/>
      <c r="L310" s="20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5"/>
      <c r="I311" s="20"/>
      <c r="J311" s="20"/>
      <c r="K311" s="21"/>
      <c r="L311" s="20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5"/>
      <c r="I312" s="20"/>
      <c r="J312" s="20"/>
      <c r="K312" s="21"/>
      <c r="L312" s="20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5"/>
      <c r="I313" s="20"/>
      <c r="J313" s="20"/>
      <c r="K313" s="21"/>
      <c r="L313" s="20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5"/>
      <c r="I314" s="20"/>
      <c r="J314" s="20"/>
      <c r="K314" s="21"/>
      <c r="L314" s="20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5"/>
      <c r="I315" s="20"/>
      <c r="J315" s="20"/>
      <c r="K315" s="21"/>
      <c r="L315" s="20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5"/>
      <c r="I316" s="20"/>
      <c r="J316" s="20"/>
      <c r="K316" s="21"/>
      <c r="L316" s="20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5"/>
      <c r="I317" s="20"/>
      <c r="J317" s="20"/>
      <c r="K317" s="21"/>
      <c r="L317" s="20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5"/>
      <c r="I318" s="20"/>
      <c r="J318" s="20"/>
      <c r="K318" s="21"/>
      <c r="L318" s="20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5"/>
      <c r="I319" s="20"/>
      <c r="J319" s="20"/>
      <c r="K319" s="21"/>
      <c r="L319" s="20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5"/>
      <c r="I320" s="20"/>
      <c r="J320" s="20"/>
      <c r="K320" s="21"/>
      <c r="L320" s="20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5"/>
      <c r="I321" s="20"/>
      <c r="J321" s="20"/>
      <c r="K321" s="21"/>
      <c r="L321" s="20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5"/>
      <c r="I322" s="20"/>
      <c r="J322" s="20"/>
      <c r="K322" s="21"/>
      <c r="L322" s="20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5"/>
      <c r="I323" s="20"/>
      <c r="J323" s="20"/>
      <c r="K323" s="21"/>
      <c r="L323" s="20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5"/>
      <c r="I324" s="20"/>
      <c r="J324" s="20"/>
      <c r="K324" s="21"/>
      <c r="L324" s="20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5"/>
      <c r="I325" s="20"/>
      <c r="J325" s="20"/>
      <c r="K325" s="21"/>
      <c r="L325" s="20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5"/>
      <c r="I326" s="20"/>
      <c r="J326" s="20"/>
      <c r="K326" s="21"/>
      <c r="L326" s="20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5"/>
      <c r="I327" s="20"/>
      <c r="J327" s="20"/>
      <c r="K327" s="21"/>
      <c r="L327" s="20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5"/>
      <c r="I328" s="20"/>
      <c r="J328" s="20"/>
      <c r="K328" s="21"/>
      <c r="L328" s="20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5"/>
      <c r="I329" s="20"/>
      <c r="J329" s="20"/>
      <c r="K329" s="21"/>
      <c r="L329" s="20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5"/>
      <c r="I330" s="20"/>
      <c r="J330" s="20"/>
      <c r="K330" s="21"/>
      <c r="L330" s="20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5"/>
      <c r="I331" s="20"/>
      <c r="J331" s="20"/>
      <c r="K331" s="21"/>
      <c r="L331" s="20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5"/>
      <c r="I332" s="20"/>
      <c r="J332" s="20"/>
      <c r="K332" s="21"/>
      <c r="L332" s="20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5"/>
      <c r="I333" s="20"/>
      <c r="J333" s="20"/>
      <c r="K333" s="21"/>
      <c r="L333" s="20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5"/>
      <c r="I334" s="20"/>
      <c r="J334" s="20"/>
      <c r="K334" s="21"/>
      <c r="L334" s="20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5"/>
      <c r="I335" s="20"/>
      <c r="J335" s="20"/>
      <c r="K335" s="21"/>
      <c r="L335" s="20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5"/>
      <c r="I336" s="20"/>
      <c r="J336" s="20"/>
      <c r="K336" s="21"/>
      <c r="L336" s="20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5"/>
      <c r="I337" s="20"/>
      <c r="J337" s="20"/>
      <c r="K337" s="21"/>
      <c r="L337" s="20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5"/>
      <c r="I338" s="20"/>
      <c r="J338" s="20"/>
      <c r="K338" s="21"/>
      <c r="L338" s="20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5"/>
      <c r="I339" s="20"/>
      <c r="J339" s="20"/>
      <c r="K339" s="21"/>
      <c r="L339" s="20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5"/>
      <c r="I340" s="20"/>
      <c r="J340" s="20"/>
      <c r="K340" s="21"/>
      <c r="L340" s="20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5"/>
      <c r="I341" s="20"/>
      <c r="J341" s="20"/>
      <c r="K341" s="21"/>
      <c r="L341" s="20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5"/>
      <c r="I342" s="20"/>
      <c r="J342" s="20"/>
      <c r="K342" s="21"/>
      <c r="L342" s="20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5"/>
      <c r="I343" s="20"/>
      <c r="J343" s="20"/>
      <c r="K343" s="21"/>
      <c r="L343" s="20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5"/>
      <c r="I344" s="20"/>
      <c r="J344" s="20"/>
      <c r="K344" s="21"/>
      <c r="L344" s="20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5"/>
      <c r="I345" s="20"/>
      <c r="J345" s="20"/>
      <c r="K345" s="21"/>
      <c r="L345" s="20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5"/>
      <c r="I346" s="20"/>
      <c r="J346" s="20"/>
      <c r="K346" s="21"/>
      <c r="L346" s="20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5"/>
      <c r="I347" s="20"/>
      <c r="J347" s="20"/>
      <c r="K347" s="21"/>
      <c r="L347" s="20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5"/>
      <c r="I348" s="20"/>
      <c r="J348" s="20"/>
      <c r="K348" s="21"/>
      <c r="L348" s="20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5"/>
      <c r="I349" s="20"/>
      <c r="J349" s="20"/>
      <c r="K349" s="21"/>
      <c r="L349" s="20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5"/>
      <c r="I350" s="20"/>
      <c r="J350" s="20"/>
      <c r="K350" s="21"/>
      <c r="L350" s="20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5"/>
      <c r="I351" s="20"/>
      <c r="J351" s="20"/>
      <c r="K351" s="21"/>
      <c r="L351" s="20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5"/>
      <c r="I352" s="20"/>
      <c r="J352" s="20"/>
      <c r="K352" s="21"/>
      <c r="L352" s="20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5"/>
      <c r="I353" s="20"/>
      <c r="J353" s="20"/>
      <c r="K353" s="21"/>
      <c r="L353" s="20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5"/>
      <c r="I354" s="20"/>
      <c r="J354" s="20"/>
      <c r="K354" s="21"/>
      <c r="L354" s="20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5"/>
      <c r="I355" s="20"/>
      <c r="J355" s="20"/>
      <c r="K355" s="21"/>
      <c r="L355" s="20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5"/>
      <c r="I356" s="20"/>
      <c r="J356" s="20"/>
      <c r="K356" s="21"/>
      <c r="L356" s="20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5"/>
      <c r="I357" s="20"/>
      <c r="J357" s="20"/>
      <c r="K357" s="21"/>
      <c r="L357" s="20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5"/>
      <c r="I358" s="20"/>
      <c r="J358" s="20"/>
      <c r="K358" s="21"/>
      <c r="L358" s="20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5"/>
      <c r="I359" s="20"/>
      <c r="J359" s="20"/>
      <c r="K359" s="21"/>
      <c r="L359" s="20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5"/>
      <c r="I360" s="20"/>
      <c r="J360" s="20"/>
      <c r="K360" s="21"/>
      <c r="L360" s="20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5"/>
      <c r="I361" s="20"/>
      <c r="J361" s="20"/>
      <c r="K361" s="21"/>
      <c r="L361" s="20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5"/>
      <c r="I362" s="20"/>
      <c r="J362" s="20"/>
      <c r="K362" s="21"/>
      <c r="L362" s="20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5"/>
      <c r="I363" s="20"/>
      <c r="J363" s="20"/>
      <c r="K363" s="21"/>
      <c r="L363" s="20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5"/>
      <c r="I364" s="20"/>
      <c r="J364" s="20"/>
      <c r="K364" s="21"/>
      <c r="L364" s="20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5"/>
      <c r="I365" s="20"/>
      <c r="J365" s="20"/>
      <c r="K365" s="21"/>
      <c r="L365" s="20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5"/>
      <c r="I366" s="20"/>
      <c r="J366" s="20"/>
      <c r="K366" s="21"/>
      <c r="L366" s="20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5"/>
      <c r="I367" s="20"/>
      <c r="J367" s="20"/>
      <c r="K367" s="21"/>
      <c r="L367" s="20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5"/>
      <c r="I368" s="20"/>
      <c r="J368" s="20"/>
      <c r="K368" s="21"/>
      <c r="L368" s="20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5"/>
      <c r="I369" s="20"/>
      <c r="J369" s="20"/>
      <c r="K369" s="21"/>
      <c r="L369" s="20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5"/>
      <c r="I370" s="20"/>
      <c r="J370" s="20"/>
      <c r="K370" s="21"/>
      <c r="L370" s="20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5"/>
      <c r="I371" s="20"/>
      <c r="J371" s="20"/>
      <c r="K371" s="21"/>
      <c r="L371" s="20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5"/>
      <c r="I372" s="20"/>
      <c r="J372" s="20"/>
      <c r="K372" s="21"/>
      <c r="L372" s="20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5"/>
      <c r="I373" s="20"/>
      <c r="J373" s="20"/>
      <c r="K373" s="21"/>
      <c r="L373" s="20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5"/>
      <c r="I374" s="20"/>
      <c r="J374" s="20"/>
      <c r="K374" s="21"/>
      <c r="L374" s="20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5"/>
      <c r="I375" s="20"/>
      <c r="J375" s="20"/>
      <c r="K375" s="21"/>
      <c r="L375" s="20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5"/>
      <c r="I376" s="20"/>
      <c r="J376" s="20"/>
      <c r="K376" s="21"/>
      <c r="L376" s="20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5"/>
      <c r="I377" s="20"/>
      <c r="J377" s="20"/>
      <c r="K377" s="21"/>
      <c r="L377" s="20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5"/>
      <c r="I378" s="20"/>
      <c r="J378" s="20"/>
      <c r="K378" s="21"/>
      <c r="L378" s="20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5"/>
      <c r="I379" s="20"/>
      <c r="J379" s="20"/>
      <c r="K379" s="21"/>
      <c r="L379" s="20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5"/>
      <c r="I380" s="20"/>
      <c r="J380" s="20"/>
      <c r="K380" s="21"/>
      <c r="L380" s="20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5"/>
      <c r="I381" s="20"/>
      <c r="J381" s="20"/>
      <c r="K381" s="21"/>
      <c r="L381" s="20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5"/>
      <c r="I382" s="20"/>
      <c r="J382" s="20"/>
      <c r="K382" s="21"/>
      <c r="L382" s="20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5"/>
      <c r="I383" s="20"/>
      <c r="J383" s="20"/>
      <c r="K383" s="21"/>
      <c r="L383" s="20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5"/>
      <c r="I384" s="20"/>
      <c r="J384" s="20"/>
      <c r="K384" s="21"/>
      <c r="L384" s="20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5"/>
      <c r="I385" s="20"/>
      <c r="J385" s="20"/>
      <c r="K385" s="21"/>
      <c r="L385" s="20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5"/>
      <c r="I386" s="20"/>
      <c r="J386" s="20"/>
      <c r="K386" s="21"/>
      <c r="L386" s="20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5"/>
      <c r="I387" s="20"/>
      <c r="J387" s="20"/>
      <c r="K387" s="21"/>
      <c r="L387" s="20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5"/>
      <c r="I388" s="20"/>
      <c r="J388" s="20"/>
      <c r="K388" s="21"/>
      <c r="L388" s="20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5"/>
      <c r="I389" s="20"/>
      <c r="J389" s="20"/>
      <c r="K389" s="21"/>
      <c r="L389" s="20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5"/>
      <c r="I390" s="20"/>
      <c r="J390" s="20"/>
      <c r="K390" s="21"/>
      <c r="L390" s="20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5"/>
      <c r="I391" s="20"/>
      <c r="J391" s="20"/>
      <c r="K391" s="21"/>
      <c r="L391" s="20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5"/>
      <c r="I392" s="20"/>
      <c r="J392" s="20"/>
      <c r="K392" s="21"/>
      <c r="L392" s="20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5"/>
      <c r="I393" s="20"/>
      <c r="J393" s="20"/>
      <c r="K393" s="21"/>
      <c r="L393" s="20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5"/>
      <c r="I394" s="20"/>
      <c r="J394" s="20"/>
      <c r="K394" s="21"/>
      <c r="L394" s="20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5"/>
      <c r="I395" s="20"/>
      <c r="J395" s="20"/>
      <c r="K395" s="21"/>
      <c r="L395" s="20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5"/>
      <c r="I396" s="20"/>
      <c r="J396" s="20"/>
      <c r="K396" s="21"/>
      <c r="L396" s="20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5"/>
      <c r="I397" s="20"/>
      <c r="J397" s="20"/>
      <c r="K397" s="21"/>
      <c r="L397" s="20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5"/>
      <c r="I398" s="20"/>
      <c r="J398" s="20"/>
      <c r="K398" s="21"/>
      <c r="L398" s="20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5"/>
      <c r="I399" s="20"/>
      <c r="J399" s="20"/>
      <c r="K399" s="21"/>
      <c r="L399" s="20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5"/>
      <c r="I400" s="20"/>
      <c r="J400" s="20"/>
      <c r="K400" s="21"/>
      <c r="L400" s="20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5"/>
      <c r="I401" s="20"/>
      <c r="J401" s="20"/>
      <c r="K401" s="21"/>
      <c r="L401" s="20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5"/>
      <c r="I402" s="20"/>
      <c r="J402" s="20"/>
      <c r="K402" s="21"/>
      <c r="L402" s="20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5"/>
      <c r="I403" s="20"/>
      <c r="J403" s="20"/>
      <c r="K403" s="21"/>
      <c r="L403" s="20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5"/>
      <c r="I404" s="20"/>
      <c r="J404" s="20"/>
      <c r="K404" s="21"/>
      <c r="L404" s="20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5"/>
      <c r="I405" s="20"/>
      <c r="J405" s="20"/>
      <c r="K405" s="21"/>
      <c r="L405" s="20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5"/>
      <c r="I406" s="20"/>
      <c r="J406" s="20"/>
      <c r="K406" s="21"/>
      <c r="L406" s="20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5"/>
      <c r="I407" s="20"/>
      <c r="J407" s="20"/>
      <c r="K407" s="21"/>
      <c r="L407" s="20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5"/>
      <c r="I408" s="20"/>
      <c r="J408" s="20"/>
      <c r="K408" s="21"/>
      <c r="L408" s="20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5"/>
      <c r="I409" s="20"/>
      <c r="J409" s="20"/>
      <c r="K409" s="21"/>
      <c r="L409" s="20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5"/>
      <c r="I410" s="20"/>
      <c r="J410" s="20"/>
      <c r="K410" s="21"/>
      <c r="L410" s="20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5"/>
      <c r="I411" s="20"/>
      <c r="J411" s="20"/>
      <c r="K411" s="21"/>
      <c r="L411" s="20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5"/>
      <c r="I412" s="20"/>
      <c r="J412" s="20"/>
      <c r="K412" s="21"/>
      <c r="L412" s="20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5"/>
      <c r="I413" s="20"/>
      <c r="J413" s="20"/>
      <c r="K413" s="21"/>
      <c r="L413" s="20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5"/>
      <c r="I414" s="20"/>
      <c r="J414" s="20"/>
      <c r="K414" s="21"/>
      <c r="L414" s="20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5"/>
      <c r="I415" s="20"/>
      <c r="J415" s="20"/>
      <c r="K415" s="21"/>
      <c r="L415" s="20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5"/>
      <c r="I416" s="20"/>
      <c r="J416" s="20"/>
      <c r="K416" s="21"/>
      <c r="L416" s="20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5"/>
      <c r="I417" s="20"/>
      <c r="J417" s="20"/>
      <c r="K417" s="21"/>
      <c r="L417" s="20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5"/>
      <c r="I418" s="20"/>
      <c r="J418" s="20"/>
      <c r="K418" s="21"/>
      <c r="L418" s="20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5"/>
      <c r="I419" s="20"/>
      <c r="J419" s="20"/>
      <c r="K419" s="21"/>
      <c r="L419" s="20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5"/>
      <c r="I420" s="20"/>
      <c r="J420" s="20"/>
      <c r="K420" s="21"/>
      <c r="L420" s="20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5"/>
      <c r="I421" s="20"/>
      <c r="J421" s="20"/>
      <c r="K421" s="21"/>
      <c r="L421" s="20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5"/>
      <c r="I422" s="20"/>
      <c r="J422" s="20"/>
      <c r="K422" s="21"/>
      <c r="L422" s="20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5"/>
      <c r="I423" s="20"/>
      <c r="J423" s="20"/>
      <c r="K423" s="21"/>
      <c r="L423" s="20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5"/>
      <c r="I424" s="20"/>
      <c r="J424" s="20"/>
      <c r="K424" s="21"/>
      <c r="L424" s="20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5"/>
      <c r="I425" s="20"/>
      <c r="J425" s="20"/>
      <c r="K425" s="21"/>
      <c r="L425" s="20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5"/>
      <c r="I426" s="20"/>
      <c r="J426" s="20"/>
      <c r="K426" s="21"/>
      <c r="L426" s="20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5"/>
      <c r="I427" s="20"/>
      <c r="J427" s="20"/>
      <c r="K427" s="21"/>
      <c r="L427" s="20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5"/>
      <c r="I428" s="20"/>
      <c r="J428" s="20"/>
      <c r="K428" s="21"/>
      <c r="L428" s="20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5"/>
      <c r="I429" s="20"/>
      <c r="J429" s="20"/>
      <c r="K429" s="21"/>
      <c r="L429" s="20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5"/>
      <c r="I430" s="20"/>
      <c r="J430" s="20"/>
      <c r="K430" s="21"/>
      <c r="L430" s="20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5"/>
      <c r="I431" s="20"/>
      <c r="J431" s="20"/>
      <c r="K431" s="21"/>
      <c r="L431" s="20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5"/>
      <c r="I432" s="20"/>
      <c r="J432" s="20"/>
      <c r="K432" s="21"/>
      <c r="L432" s="20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5"/>
      <c r="I433" s="20"/>
      <c r="J433" s="20"/>
      <c r="K433" s="21"/>
      <c r="L433" s="20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5"/>
      <c r="I434" s="20"/>
      <c r="J434" s="20"/>
      <c r="K434" s="21"/>
      <c r="L434" s="20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5"/>
      <c r="I435" s="20"/>
      <c r="J435" s="20"/>
      <c r="K435" s="21"/>
      <c r="L435" s="20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5"/>
      <c r="I436" s="20"/>
      <c r="J436" s="20"/>
      <c r="K436" s="21"/>
      <c r="L436" s="20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5"/>
      <c r="I437" s="20"/>
      <c r="J437" s="20"/>
      <c r="K437" s="21"/>
      <c r="L437" s="20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5"/>
      <c r="I438" s="20"/>
      <c r="J438" s="20"/>
      <c r="K438" s="21"/>
      <c r="L438" s="20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5"/>
      <c r="I439" s="20"/>
      <c r="J439" s="20"/>
      <c r="K439" s="21"/>
      <c r="L439" s="20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5"/>
      <c r="I440" s="20"/>
      <c r="J440" s="20"/>
      <c r="K440" s="21"/>
      <c r="L440" s="20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5"/>
      <c r="I441" s="20"/>
      <c r="J441" s="20"/>
      <c r="K441" s="21"/>
      <c r="L441" s="20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5"/>
      <c r="I442" s="20"/>
      <c r="J442" s="20"/>
      <c r="K442" s="21"/>
      <c r="L442" s="20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5"/>
      <c r="I443" s="20"/>
      <c r="J443" s="20"/>
      <c r="K443" s="21"/>
      <c r="L443" s="20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5"/>
      <c r="I444" s="20"/>
      <c r="J444" s="20"/>
      <c r="K444" s="21"/>
      <c r="L444" s="20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5"/>
      <c r="I445" s="20"/>
      <c r="J445" s="20"/>
      <c r="K445" s="21"/>
      <c r="L445" s="20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5"/>
      <c r="I446" s="20"/>
      <c r="J446" s="20"/>
      <c r="K446" s="21"/>
      <c r="L446" s="20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5"/>
      <c r="I447" s="20"/>
      <c r="J447" s="20"/>
      <c r="K447" s="21"/>
      <c r="L447" s="20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5"/>
      <c r="I448" s="20"/>
      <c r="J448" s="20"/>
      <c r="K448" s="21"/>
      <c r="L448" s="20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5"/>
      <c r="I449" s="20"/>
      <c r="J449" s="20"/>
      <c r="K449" s="21"/>
      <c r="L449" s="20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5"/>
      <c r="I450" s="20"/>
      <c r="J450" s="20"/>
      <c r="K450" s="21"/>
      <c r="L450" s="20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5"/>
      <c r="I451" s="20"/>
      <c r="J451" s="20"/>
      <c r="K451" s="21"/>
      <c r="L451" s="20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5"/>
      <c r="I452" s="20"/>
      <c r="J452" s="20"/>
      <c r="K452" s="21"/>
      <c r="L452" s="20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5"/>
      <c r="I453" s="20"/>
      <c r="J453" s="20"/>
      <c r="K453" s="21"/>
      <c r="L453" s="20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5"/>
      <c r="I454" s="20"/>
      <c r="J454" s="20"/>
      <c r="K454" s="21"/>
      <c r="L454" s="20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5"/>
      <c r="I455" s="20"/>
      <c r="J455" s="20"/>
      <c r="K455" s="21"/>
      <c r="L455" s="20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5"/>
      <c r="I456" s="20"/>
      <c r="J456" s="20"/>
      <c r="K456" s="21"/>
      <c r="L456" s="20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5"/>
      <c r="I457" s="20"/>
      <c r="J457" s="20"/>
      <c r="K457" s="21"/>
      <c r="L457" s="20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5"/>
      <c r="I458" s="20"/>
      <c r="J458" s="20"/>
      <c r="K458" s="21"/>
      <c r="L458" s="20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5"/>
      <c r="I459" s="20"/>
      <c r="J459" s="20"/>
      <c r="K459" s="21"/>
      <c r="L459" s="20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5"/>
      <c r="I460" s="20"/>
      <c r="J460" s="20"/>
      <c r="K460" s="21"/>
      <c r="L460" s="20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5"/>
      <c r="I461" s="20"/>
      <c r="J461" s="20"/>
      <c r="K461" s="21"/>
      <c r="L461" s="20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5"/>
      <c r="I462" s="20"/>
      <c r="J462" s="20"/>
      <c r="K462" s="21"/>
      <c r="L462" s="20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5"/>
      <c r="I463" s="20"/>
      <c r="J463" s="20"/>
      <c r="K463" s="21"/>
      <c r="L463" s="20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5"/>
      <c r="I464" s="20"/>
      <c r="J464" s="20"/>
      <c r="K464" s="21"/>
      <c r="L464" s="20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5"/>
      <c r="I465" s="20"/>
      <c r="J465" s="20"/>
      <c r="K465" s="21"/>
      <c r="L465" s="20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5"/>
      <c r="I466" s="20"/>
      <c r="J466" s="20"/>
      <c r="K466" s="21"/>
      <c r="L466" s="20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5"/>
      <c r="I467" s="20"/>
      <c r="J467" s="20"/>
      <c r="K467" s="21"/>
      <c r="L467" s="20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5"/>
      <c r="I468" s="20"/>
      <c r="J468" s="20"/>
      <c r="K468" s="21"/>
      <c r="L468" s="20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5"/>
      <c r="I469" s="20"/>
      <c r="J469" s="20"/>
      <c r="K469" s="21"/>
      <c r="L469" s="20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5"/>
      <c r="I470" s="20"/>
      <c r="J470" s="20"/>
      <c r="K470" s="21"/>
      <c r="L470" s="20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5"/>
      <c r="I471" s="20"/>
      <c r="J471" s="20"/>
      <c r="K471" s="21"/>
      <c r="L471" s="20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5"/>
      <c r="I472" s="20"/>
      <c r="J472" s="20"/>
      <c r="K472" s="21"/>
      <c r="L472" s="20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5"/>
      <c r="I473" s="20"/>
      <c r="J473" s="20"/>
      <c r="K473" s="21"/>
      <c r="L473" s="20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5"/>
      <c r="I474" s="20"/>
      <c r="J474" s="20"/>
      <c r="K474" s="21"/>
      <c r="L474" s="20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5"/>
      <c r="I475" s="20"/>
      <c r="J475" s="20"/>
      <c r="K475" s="21"/>
      <c r="L475" s="20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5"/>
      <c r="I476" s="20"/>
      <c r="J476" s="20"/>
      <c r="K476" s="21"/>
      <c r="L476" s="20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5"/>
      <c r="I477" s="20"/>
      <c r="J477" s="20"/>
      <c r="K477" s="21"/>
      <c r="L477" s="20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5"/>
      <c r="I478" s="20"/>
      <c r="J478" s="20"/>
      <c r="K478" s="21"/>
      <c r="L478" s="20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5"/>
      <c r="I479" s="20"/>
      <c r="J479" s="20"/>
      <c r="K479" s="21"/>
      <c r="L479" s="20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5"/>
      <c r="I480" s="20"/>
      <c r="J480" s="20"/>
      <c r="K480" s="21"/>
      <c r="L480" s="20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5"/>
      <c r="I481" s="20"/>
      <c r="J481" s="20"/>
      <c r="K481" s="21"/>
      <c r="L481" s="20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5"/>
      <c r="I482" s="20"/>
      <c r="J482" s="20"/>
      <c r="K482" s="21"/>
      <c r="L482" s="20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5"/>
      <c r="I483" s="20"/>
      <c r="J483" s="20"/>
      <c r="K483" s="21"/>
      <c r="L483" s="20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5"/>
      <c r="I484" s="20"/>
      <c r="J484" s="20"/>
      <c r="K484" s="21"/>
      <c r="L484" s="20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5"/>
      <c r="I485" s="20"/>
      <c r="J485" s="20"/>
      <c r="K485" s="21"/>
      <c r="L485" s="20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5"/>
      <c r="I486" s="20"/>
      <c r="J486" s="20"/>
      <c r="K486" s="21"/>
      <c r="L486" s="20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5"/>
      <c r="I487" s="20"/>
      <c r="J487" s="20"/>
      <c r="K487" s="21"/>
      <c r="L487" s="20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5"/>
      <c r="I488" s="20"/>
      <c r="J488" s="20"/>
      <c r="K488" s="21"/>
      <c r="L488" s="20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5"/>
      <c r="I489" s="20"/>
      <c r="J489" s="20"/>
      <c r="K489" s="21"/>
      <c r="L489" s="20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5"/>
      <c r="I490" s="20"/>
      <c r="J490" s="20"/>
      <c r="K490" s="21"/>
      <c r="L490" s="20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5"/>
      <c r="I491" s="20"/>
      <c r="J491" s="20"/>
      <c r="K491" s="21"/>
      <c r="L491" s="20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5"/>
      <c r="I492" s="20"/>
      <c r="J492" s="20"/>
      <c r="K492" s="21"/>
      <c r="L492" s="20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5"/>
      <c r="I493" s="20"/>
      <c r="J493" s="20"/>
      <c r="K493" s="21"/>
      <c r="L493" s="20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5"/>
      <c r="I494" s="20"/>
      <c r="J494" s="20"/>
      <c r="K494" s="21"/>
      <c r="L494" s="20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5"/>
      <c r="I495" s="20"/>
      <c r="J495" s="20"/>
      <c r="K495" s="21"/>
      <c r="L495" s="20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5"/>
      <c r="I496" s="20"/>
      <c r="J496" s="20"/>
      <c r="K496" s="21"/>
      <c r="L496" s="20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5"/>
      <c r="I497" s="20"/>
      <c r="J497" s="20"/>
      <c r="K497" s="21"/>
      <c r="L497" s="20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5"/>
      <c r="I498" s="20"/>
      <c r="J498" s="20"/>
      <c r="K498" s="21"/>
      <c r="L498" s="20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5"/>
      <c r="I499" s="20"/>
      <c r="J499" s="20"/>
      <c r="K499" s="21"/>
      <c r="L499" s="20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5"/>
      <c r="I500" s="20"/>
      <c r="J500" s="20"/>
      <c r="K500" s="21"/>
      <c r="L500" s="20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5"/>
      <c r="I501" s="20"/>
      <c r="J501" s="20"/>
      <c r="K501" s="21"/>
      <c r="L501" s="20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5"/>
      <c r="I502" s="20"/>
      <c r="J502" s="20"/>
      <c r="K502" s="21"/>
      <c r="L502" s="20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5"/>
      <c r="I503" s="20"/>
      <c r="J503" s="20"/>
      <c r="K503" s="21"/>
      <c r="L503" s="20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5"/>
      <c r="I504" s="20"/>
      <c r="J504" s="20"/>
      <c r="K504" s="21"/>
      <c r="L504" s="20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5"/>
      <c r="I505" s="20"/>
      <c r="J505" s="20"/>
      <c r="K505" s="21"/>
      <c r="L505" s="20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5"/>
      <c r="I506" s="20"/>
      <c r="J506" s="20"/>
      <c r="K506" s="21"/>
      <c r="L506" s="20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5"/>
      <c r="I507" s="20"/>
      <c r="J507" s="20"/>
      <c r="K507" s="21"/>
      <c r="L507" s="20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5"/>
      <c r="I508" s="20"/>
      <c r="J508" s="20"/>
      <c r="K508" s="21"/>
      <c r="L508" s="20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5"/>
      <c r="I509" s="20"/>
      <c r="J509" s="20"/>
      <c r="K509" s="21"/>
      <c r="L509" s="20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5"/>
      <c r="I510" s="20"/>
      <c r="J510" s="20"/>
      <c r="K510" s="21"/>
      <c r="L510" s="20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5"/>
      <c r="I511" s="20"/>
      <c r="J511" s="20"/>
      <c r="K511" s="21"/>
      <c r="L511" s="20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5"/>
      <c r="I512" s="20"/>
      <c r="J512" s="20"/>
      <c r="K512" s="21"/>
      <c r="L512" s="20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5"/>
      <c r="I513" s="20"/>
      <c r="J513" s="20"/>
      <c r="K513" s="21"/>
      <c r="L513" s="20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5"/>
      <c r="I514" s="20"/>
      <c r="J514" s="20"/>
      <c r="K514" s="21"/>
      <c r="L514" s="20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5"/>
      <c r="I515" s="20"/>
      <c r="J515" s="20"/>
      <c r="K515" s="21"/>
      <c r="L515" s="20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5"/>
      <c r="I516" s="20"/>
      <c r="J516" s="20"/>
      <c r="K516" s="21"/>
      <c r="L516" s="20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5"/>
      <c r="I517" s="20"/>
      <c r="J517" s="20"/>
      <c r="K517" s="21"/>
      <c r="L517" s="20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5"/>
      <c r="I518" s="20"/>
      <c r="J518" s="20"/>
      <c r="K518" s="21"/>
      <c r="L518" s="20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5"/>
      <c r="I519" s="20"/>
      <c r="J519" s="20"/>
      <c r="K519" s="21"/>
      <c r="L519" s="20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5"/>
      <c r="I520" s="20"/>
      <c r="J520" s="20"/>
      <c r="K520" s="21"/>
      <c r="L520" s="20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5"/>
      <c r="I521" s="20"/>
      <c r="J521" s="20"/>
      <c r="K521" s="21"/>
      <c r="L521" s="20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5"/>
      <c r="I522" s="20"/>
      <c r="J522" s="20"/>
      <c r="K522" s="21"/>
      <c r="L522" s="20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5"/>
      <c r="I523" s="20"/>
      <c r="J523" s="20"/>
      <c r="K523" s="21"/>
      <c r="L523" s="20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5"/>
      <c r="I524" s="20"/>
      <c r="J524" s="20"/>
      <c r="K524" s="21"/>
      <c r="L524" s="20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5"/>
      <c r="I525" s="20"/>
      <c r="J525" s="20"/>
      <c r="K525" s="21"/>
      <c r="L525" s="20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5"/>
      <c r="I526" s="20"/>
      <c r="J526" s="20"/>
      <c r="K526" s="21"/>
      <c r="L526" s="20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5"/>
      <c r="I527" s="20"/>
      <c r="J527" s="20"/>
      <c r="K527" s="21"/>
      <c r="L527" s="20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5"/>
      <c r="I528" s="20"/>
      <c r="J528" s="20"/>
      <c r="K528" s="21"/>
      <c r="L528" s="20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5"/>
      <c r="I529" s="20"/>
      <c r="J529" s="20"/>
      <c r="K529" s="21"/>
      <c r="L529" s="20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5"/>
      <c r="I530" s="20"/>
      <c r="J530" s="20"/>
      <c r="K530" s="21"/>
      <c r="L530" s="20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5"/>
      <c r="I531" s="20"/>
      <c r="J531" s="20"/>
      <c r="K531" s="21"/>
      <c r="L531" s="20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5"/>
      <c r="I532" s="20"/>
      <c r="J532" s="20"/>
      <c r="K532" s="21"/>
      <c r="L532" s="20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5"/>
      <c r="I533" s="20"/>
      <c r="J533" s="20"/>
      <c r="K533" s="21"/>
      <c r="L533" s="20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5"/>
      <c r="I534" s="20"/>
      <c r="J534" s="20"/>
      <c r="K534" s="21"/>
      <c r="L534" s="20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5"/>
      <c r="I535" s="20"/>
      <c r="J535" s="20"/>
      <c r="K535" s="21"/>
      <c r="L535" s="20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5"/>
      <c r="I536" s="20"/>
      <c r="J536" s="20"/>
      <c r="K536" s="21"/>
      <c r="L536" s="20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5"/>
      <c r="I537" s="20"/>
      <c r="J537" s="20"/>
      <c r="K537" s="21"/>
      <c r="L537" s="20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5"/>
      <c r="I538" s="20"/>
      <c r="J538" s="20"/>
      <c r="K538" s="21"/>
      <c r="L538" s="20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5"/>
      <c r="I539" s="20"/>
      <c r="J539" s="20"/>
      <c r="K539" s="21"/>
      <c r="L539" s="20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5"/>
      <c r="I540" s="20"/>
      <c r="J540" s="20"/>
      <c r="K540" s="21"/>
      <c r="L540" s="20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5"/>
      <c r="I541" s="20"/>
      <c r="J541" s="20"/>
      <c r="K541" s="21"/>
      <c r="L541" s="20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5"/>
      <c r="I542" s="20"/>
      <c r="J542" s="20"/>
      <c r="K542" s="21"/>
      <c r="L542" s="20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5"/>
      <c r="I543" s="20"/>
      <c r="J543" s="20"/>
      <c r="K543" s="21"/>
      <c r="L543" s="20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5"/>
      <c r="I544" s="20"/>
      <c r="J544" s="20"/>
      <c r="K544" s="21"/>
      <c r="L544" s="20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5"/>
      <c r="I545" s="20"/>
      <c r="J545" s="20"/>
      <c r="K545" s="21"/>
      <c r="L545" s="20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5"/>
      <c r="I546" s="20"/>
      <c r="J546" s="20"/>
      <c r="K546" s="21"/>
      <c r="L546" s="20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5"/>
      <c r="I547" s="20"/>
      <c r="J547" s="20"/>
      <c r="K547" s="21"/>
      <c r="L547" s="20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5"/>
      <c r="I548" s="20"/>
      <c r="J548" s="20"/>
      <c r="K548" s="21"/>
      <c r="L548" s="20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5"/>
      <c r="I549" s="20"/>
      <c r="J549" s="20"/>
      <c r="K549" s="21"/>
      <c r="L549" s="20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5"/>
      <c r="I550" s="20"/>
      <c r="J550" s="20"/>
      <c r="K550" s="21"/>
      <c r="L550" s="20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5"/>
      <c r="I551" s="20"/>
      <c r="J551" s="20"/>
      <c r="K551" s="21"/>
      <c r="L551" s="20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5"/>
      <c r="I552" s="20"/>
      <c r="J552" s="20"/>
      <c r="K552" s="21"/>
      <c r="L552" s="20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5"/>
      <c r="I553" s="20"/>
      <c r="J553" s="20"/>
      <c r="K553" s="21"/>
      <c r="L553" s="20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5"/>
      <c r="I554" s="20"/>
      <c r="J554" s="20"/>
      <c r="K554" s="21"/>
      <c r="L554" s="20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5"/>
      <c r="I555" s="20"/>
      <c r="J555" s="20"/>
      <c r="K555" s="21"/>
      <c r="L555" s="20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5"/>
      <c r="I556" s="20"/>
      <c r="J556" s="20"/>
      <c r="K556" s="21"/>
      <c r="L556" s="20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5"/>
      <c r="I557" s="20"/>
      <c r="J557" s="20"/>
      <c r="K557" s="21"/>
      <c r="L557" s="20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5"/>
      <c r="I558" s="20"/>
      <c r="J558" s="20"/>
      <c r="K558" s="21"/>
      <c r="L558" s="20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5"/>
      <c r="I559" s="20"/>
      <c r="J559" s="20"/>
      <c r="K559" s="21"/>
      <c r="L559" s="20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5"/>
      <c r="I560" s="20"/>
      <c r="J560" s="20"/>
      <c r="K560" s="21"/>
      <c r="L560" s="20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5"/>
      <c r="I561" s="20"/>
      <c r="J561" s="20"/>
      <c r="K561" s="21"/>
      <c r="L561" s="20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5"/>
      <c r="I562" s="20"/>
      <c r="J562" s="20"/>
      <c r="K562" s="21"/>
      <c r="L562" s="20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5"/>
      <c r="I563" s="20"/>
      <c r="J563" s="20"/>
      <c r="K563" s="21"/>
      <c r="L563" s="20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5"/>
      <c r="I564" s="20"/>
      <c r="J564" s="20"/>
      <c r="K564" s="21"/>
      <c r="L564" s="20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5"/>
      <c r="I565" s="20"/>
      <c r="J565" s="20"/>
      <c r="K565" s="21"/>
      <c r="L565" s="20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5"/>
      <c r="I566" s="20"/>
      <c r="J566" s="20"/>
      <c r="K566" s="21"/>
      <c r="L566" s="20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5"/>
      <c r="I567" s="20"/>
      <c r="J567" s="20"/>
      <c r="K567" s="21"/>
      <c r="L567" s="20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5"/>
      <c r="I568" s="20"/>
      <c r="J568" s="20"/>
      <c r="K568" s="21"/>
      <c r="L568" s="20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5"/>
      <c r="I569" s="20"/>
      <c r="J569" s="20"/>
      <c r="K569" s="21"/>
      <c r="L569" s="20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5"/>
      <c r="I570" s="20"/>
      <c r="J570" s="20"/>
      <c r="K570" s="21"/>
      <c r="L570" s="20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5"/>
      <c r="I571" s="20"/>
      <c r="J571" s="20"/>
      <c r="K571" s="21"/>
      <c r="L571" s="20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5"/>
      <c r="I572" s="20"/>
      <c r="J572" s="20"/>
      <c r="K572" s="21"/>
      <c r="L572" s="20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5"/>
      <c r="I573" s="20"/>
      <c r="J573" s="20"/>
      <c r="K573" s="21"/>
      <c r="L573" s="20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5"/>
      <c r="I574" s="20"/>
      <c r="J574" s="20"/>
      <c r="K574" s="21"/>
      <c r="L574" s="20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5"/>
      <c r="I575" s="20"/>
      <c r="J575" s="20"/>
      <c r="K575" s="21"/>
      <c r="L575" s="20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5"/>
      <c r="I576" s="20"/>
      <c r="J576" s="20"/>
      <c r="K576" s="21"/>
      <c r="L576" s="20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5"/>
      <c r="I577" s="20"/>
      <c r="J577" s="20"/>
      <c r="K577" s="21"/>
      <c r="L577" s="20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5"/>
      <c r="I578" s="20"/>
      <c r="J578" s="20"/>
      <c r="K578" s="21"/>
      <c r="L578" s="20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5"/>
      <c r="I579" s="20"/>
      <c r="J579" s="20"/>
      <c r="K579" s="21"/>
      <c r="L579" s="20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5"/>
      <c r="I580" s="20"/>
      <c r="J580" s="20"/>
      <c r="K580" s="21"/>
      <c r="L580" s="20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5"/>
      <c r="I581" s="20"/>
      <c r="J581" s="20"/>
      <c r="K581" s="21"/>
      <c r="L581" s="20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5"/>
      <c r="I582" s="20"/>
      <c r="J582" s="20"/>
      <c r="K582" s="21"/>
      <c r="L582" s="20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5"/>
      <c r="I583" s="20"/>
      <c r="J583" s="20"/>
      <c r="K583" s="21"/>
      <c r="L583" s="20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5"/>
      <c r="I584" s="20"/>
      <c r="J584" s="20"/>
      <c r="K584" s="21"/>
      <c r="L584" s="20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5"/>
      <c r="I585" s="20"/>
      <c r="J585" s="20"/>
      <c r="K585" s="21"/>
      <c r="L585" s="20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5"/>
      <c r="I586" s="20"/>
      <c r="J586" s="20"/>
      <c r="K586" s="21"/>
      <c r="L586" s="20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5"/>
      <c r="I587" s="20"/>
      <c r="J587" s="20"/>
      <c r="K587" s="21"/>
      <c r="L587" s="20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5"/>
      <c r="I588" s="20"/>
      <c r="J588" s="20"/>
      <c r="K588" s="21"/>
      <c r="L588" s="20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5"/>
      <c r="I589" s="20"/>
      <c r="J589" s="20"/>
      <c r="K589" s="21"/>
      <c r="L589" s="20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5"/>
      <c r="I590" s="20"/>
      <c r="J590" s="20"/>
      <c r="K590" s="21"/>
      <c r="L590" s="20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5"/>
      <c r="I591" s="20"/>
      <c r="J591" s="20"/>
      <c r="K591" s="21"/>
      <c r="L591" s="20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5"/>
      <c r="I592" s="20"/>
      <c r="J592" s="20"/>
      <c r="K592" s="21"/>
      <c r="L592" s="20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5"/>
      <c r="I593" s="20"/>
      <c r="J593" s="20"/>
      <c r="K593" s="21"/>
      <c r="L593" s="20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5"/>
      <c r="I594" s="20"/>
      <c r="J594" s="20"/>
      <c r="K594" s="21"/>
      <c r="L594" s="20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5"/>
      <c r="I595" s="20"/>
      <c r="J595" s="20"/>
      <c r="K595" s="21"/>
      <c r="L595" s="20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5"/>
      <c r="I596" s="20"/>
      <c r="J596" s="20"/>
      <c r="K596" s="21"/>
      <c r="L596" s="20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5"/>
      <c r="I597" s="20"/>
      <c r="J597" s="20"/>
      <c r="K597" s="21"/>
      <c r="L597" s="20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5"/>
      <c r="I598" s="20"/>
      <c r="J598" s="20"/>
      <c r="K598" s="21"/>
      <c r="L598" s="20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5"/>
      <c r="I599" s="20"/>
      <c r="J599" s="20"/>
      <c r="K599" s="21"/>
      <c r="L599" s="20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5"/>
      <c r="I600" s="20"/>
      <c r="J600" s="20"/>
      <c r="K600" s="21"/>
      <c r="L600" s="20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5"/>
      <c r="I601" s="20"/>
      <c r="J601" s="20"/>
      <c r="K601" s="21"/>
      <c r="L601" s="20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5"/>
      <c r="I602" s="20"/>
      <c r="J602" s="20"/>
      <c r="K602" s="21"/>
      <c r="L602" s="20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5"/>
      <c r="I603" s="20"/>
      <c r="J603" s="20"/>
      <c r="K603" s="21"/>
      <c r="L603" s="20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5"/>
      <c r="I604" s="20"/>
      <c r="J604" s="20"/>
      <c r="K604" s="21"/>
      <c r="L604" s="20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5"/>
      <c r="I605" s="20"/>
      <c r="J605" s="20"/>
      <c r="K605" s="21"/>
      <c r="L605" s="20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5"/>
      <c r="I606" s="20"/>
      <c r="J606" s="20"/>
      <c r="K606" s="21"/>
      <c r="L606" s="20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5"/>
      <c r="I607" s="20"/>
      <c r="J607" s="20"/>
      <c r="K607" s="21"/>
      <c r="L607" s="20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5"/>
      <c r="I608" s="20"/>
      <c r="J608" s="20"/>
      <c r="K608" s="21"/>
      <c r="L608" s="20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5"/>
      <c r="I609" s="20"/>
      <c r="J609" s="20"/>
      <c r="K609" s="21"/>
      <c r="L609" s="20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5"/>
      <c r="I610" s="20"/>
      <c r="J610" s="20"/>
      <c r="K610" s="21"/>
      <c r="L610" s="20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5"/>
      <c r="I611" s="20"/>
      <c r="J611" s="20"/>
      <c r="K611" s="21"/>
      <c r="L611" s="20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5"/>
      <c r="I612" s="20"/>
      <c r="J612" s="20"/>
      <c r="K612" s="21"/>
      <c r="L612" s="20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5"/>
      <c r="I613" s="20"/>
      <c r="J613" s="20"/>
      <c r="K613" s="21"/>
      <c r="L613" s="20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5"/>
      <c r="I614" s="20"/>
      <c r="J614" s="20"/>
      <c r="K614" s="21"/>
      <c r="L614" s="20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5"/>
      <c r="I615" s="20"/>
      <c r="J615" s="20"/>
      <c r="K615" s="21"/>
      <c r="L615" s="20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5"/>
      <c r="I616" s="20"/>
      <c r="J616" s="20"/>
      <c r="K616" s="21"/>
      <c r="L616" s="20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5"/>
      <c r="I617" s="20"/>
      <c r="J617" s="20"/>
      <c r="K617" s="21"/>
      <c r="L617" s="20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5"/>
      <c r="I618" s="20"/>
      <c r="J618" s="20"/>
      <c r="K618" s="21"/>
      <c r="L618" s="20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5"/>
      <c r="I619" s="20"/>
      <c r="J619" s="20"/>
      <c r="K619" s="21"/>
      <c r="L619" s="20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5"/>
      <c r="I620" s="20"/>
      <c r="J620" s="20"/>
      <c r="K620" s="21"/>
      <c r="L620" s="20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5"/>
      <c r="I621" s="20"/>
      <c r="J621" s="20"/>
      <c r="K621" s="21"/>
      <c r="L621" s="20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5"/>
      <c r="I622" s="20"/>
      <c r="J622" s="20"/>
      <c r="K622" s="21"/>
      <c r="L622" s="20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5"/>
      <c r="I623" s="20"/>
      <c r="J623" s="20"/>
      <c r="K623" s="21"/>
      <c r="L623" s="20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5"/>
      <c r="I624" s="20"/>
      <c r="J624" s="20"/>
      <c r="K624" s="21"/>
      <c r="L624" s="20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5"/>
      <c r="I625" s="20"/>
      <c r="J625" s="20"/>
      <c r="K625" s="21"/>
      <c r="L625" s="20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5"/>
      <c r="I626" s="20"/>
      <c r="J626" s="20"/>
      <c r="K626" s="21"/>
      <c r="L626" s="20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5"/>
      <c r="I627" s="20"/>
      <c r="J627" s="20"/>
      <c r="K627" s="21"/>
      <c r="L627" s="20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5"/>
      <c r="I628" s="20"/>
      <c r="J628" s="20"/>
      <c r="K628" s="21"/>
      <c r="L628" s="20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5"/>
      <c r="I629" s="20"/>
      <c r="J629" s="20"/>
      <c r="K629" s="21"/>
      <c r="L629" s="20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5"/>
      <c r="I630" s="20"/>
      <c r="J630" s="20"/>
      <c r="K630" s="21"/>
      <c r="L630" s="20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5"/>
      <c r="I631" s="20"/>
      <c r="J631" s="20"/>
      <c r="K631" s="21"/>
      <c r="L631" s="20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5"/>
      <c r="I632" s="20"/>
      <c r="J632" s="20"/>
      <c r="K632" s="21"/>
      <c r="L632" s="20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5"/>
      <c r="I633" s="20"/>
      <c r="J633" s="20"/>
      <c r="K633" s="21"/>
      <c r="L633" s="20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5"/>
      <c r="I634" s="20"/>
      <c r="J634" s="20"/>
      <c r="K634" s="21"/>
      <c r="L634" s="20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5"/>
      <c r="I635" s="20"/>
      <c r="J635" s="20"/>
      <c r="K635" s="21"/>
      <c r="L635" s="20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5"/>
      <c r="I636" s="20"/>
      <c r="J636" s="20"/>
      <c r="K636" s="21"/>
      <c r="L636" s="20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5"/>
      <c r="I637" s="20"/>
      <c r="J637" s="20"/>
      <c r="K637" s="21"/>
      <c r="L637" s="20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5"/>
      <c r="I638" s="20"/>
      <c r="J638" s="20"/>
      <c r="K638" s="21"/>
      <c r="L638" s="20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5"/>
      <c r="I639" s="20"/>
      <c r="J639" s="20"/>
      <c r="K639" s="21"/>
      <c r="L639" s="20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5"/>
      <c r="I640" s="20"/>
      <c r="J640" s="20"/>
      <c r="K640" s="21"/>
      <c r="L640" s="20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5"/>
      <c r="I641" s="20"/>
      <c r="J641" s="20"/>
      <c r="K641" s="21"/>
      <c r="L641" s="20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5"/>
      <c r="I642" s="20"/>
      <c r="J642" s="20"/>
      <c r="K642" s="21"/>
      <c r="L642" s="20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5"/>
      <c r="I643" s="20"/>
      <c r="J643" s="20"/>
      <c r="K643" s="21"/>
      <c r="L643" s="20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5"/>
      <c r="I644" s="20"/>
      <c r="J644" s="20"/>
      <c r="K644" s="21"/>
      <c r="L644" s="20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5"/>
      <c r="I645" s="20"/>
      <c r="J645" s="20"/>
      <c r="K645" s="21"/>
      <c r="L645" s="20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5"/>
      <c r="I646" s="20"/>
      <c r="J646" s="20"/>
      <c r="K646" s="21"/>
      <c r="L646" s="20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5"/>
      <c r="I647" s="20"/>
      <c r="J647" s="20"/>
      <c r="K647" s="21"/>
      <c r="L647" s="20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5"/>
      <c r="I648" s="20"/>
      <c r="J648" s="20"/>
      <c r="K648" s="21"/>
      <c r="L648" s="20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5"/>
      <c r="I649" s="20"/>
      <c r="J649" s="20"/>
      <c r="K649" s="21"/>
      <c r="L649" s="20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5"/>
      <c r="I650" s="20"/>
      <c r="J650" s="20"/>
      <c r="K650" s="21"/>
      <c r="L650" s="20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5"/>
      <c r="I651" s="20"/>
      <c r="J651" s="20"/>
      <c r="K651" s="21"/>
      <c r="L651" s="20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5"/>
      <c r="I652" s="20"/>
      <c r="J652" s="20"/>
      <c r="K652" s="21"/>
      <c r="L652" s="20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5"/>
      <c r="I653" s="20"/>
      <c r="J653" s="20"/>
      <c r="K653" s="21"/>
      <c r="L653" s="20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5"/>
      <c r="I654" s="20"/>
      <c r="J654" s="20"/>
      <c r="K654" s="21"/>
      <c r="L654" s="20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5"/>
      <c r="I655" s="20"/>
      <c r="J655" s="20"/>
      <c r="K655" s="21"/>
      <c r="L655" s="20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5"/>
      <c r="I656" s="20"/>
      <c r="J656" s="20"/>
      <c r="K656" s="21"/>
      <c r="L656" s="20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5"/>
      <c r="I657" s="20"/>
      <c r="J657" s="20"/>
      <c r="K657" s="21"/>
      <c r="L657" s="20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5"/>
      <c r="I658" s="20"/>
      <c r="J658" s="20"/>
      <c r="K658" s="21"/>
      <c r="L658" s="20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5"/>
      <c r="I659" s="20"/>
      <c r="J659" s="20"/>
      <c r="K659" s="21"/>
      <c r="L659" s="20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5"/>
      <c r="I660" s="20"/>
      <c r="J660" s="20"/>
      <c r="K660" s="21"/>
      <c r="L660" s="20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5"/>
      <c r="I661" s="20"/>
      <c r="J661" s="20"/>
      <c r="K661" s="21"/>
      <c r="L661" s="20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5"/>
      <c r="I662" s="20"/>
      <c r="J662" s="20"/>
      <c r="K662" s="21"/>
      <c r="L662" s="20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5"/>
      <c r="I663" s="20"/>
      <c r="J663" s="20"/>
      <c r="K663" s="21"/>
      <c r="L663" s="20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5"/>
      <c r="I664" s="20"/>
      <c r="J664" s="20"/>
      <c r="K664" s="21"/>
      <c r="L664" s="20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5"/>
      <c r="I665" s="20"/>
      <c r="J665" s="20"/>
      <c r="K665" s="21"/>
      <c r="L665" s="20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5"/>
      <c r="I666" s="20"/>
      <c r="J666" s="20"/>
      <c r="K666" s="21"/>
      <c r="L666" s="20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5"/>
      <c r="I667" s="20"/>
      <c r="J667" s="20"/>
      <c r="K667" s="21"/>
      <c r="L667" s="20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5"/>
      <c r="I668" s="20"/>
      <c r="J668" s="20"/>
      <c r="K668" s="21"/>
      <c r="L668" s="20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5"/>
      <c r="I669" s="20"/>
      <c r="J669" s="20"/>
      <c r="K669" s="21"/>
      <c r="L669" s="20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5"/>
      <c r="I670" s="20"/>
      <c r="J670" s="20"/>
      <c r="K670" s="21"/>
      <c r="L670" s="20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5"/>
      <c r="I671" s="20"/>
      <c r="J671" s="20"/>
      <c r="K671" s="21"/>
      <c r="L671" s="20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5"/>
      <c r="I672" s="20"/>
      <c r="J672" s="20"/>
      <c r="K672" s="21"/>
      <c r="L672" s="20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5"/>
      <c r="I673" s="20"/>
      <c r="J673" s="20"/>
      <c r="K673" s="21"/>
      <c r="L673" s="20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5"/>
      <c r="I674" s="20"/>
      <c r="J674" s="20"/>
      <c r="K674" s="21"/>
      <c r="L674" s="20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5"/>
      <c r="I675" s="20"/>
      <c r="J675" s="20"/>
      <c r="K675" s="21"/>
      <c r="L675" s="20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5"/>
      <c r="I676" s="20"/>
      <c r="J676" s="20"/>
      <c r="K676" s="21"/>
      <c r="L676" s="20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5"/>
      <c r="I677" s="20"/>
      <c r="J677" s="20"/>
      <c r="K677" s="21"/>
      <c r="L677" s="20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5"/>
      <c r="I678" s="20"/>
      <c r="J678" s="20"/>
      <c r="K678" s="21"/>
      <c r="L678" s="20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5"/>
      <c r="I679" s="20"/>
      <c r="J679" s="20"/>
      <c r="K679" s="21"/>
      <c r="L679" s="20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5"/>
      <c r="I680" s="20"/>
      <c r="J680" s="20"/>
      <c r="K680" s="21"/>
      <c r="L680" s="20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5"/>
      <c r="I681" s="20"/>
      <c r="J681" s="20"/>
      <c r="K681" s="21"/>
      <c r="L681" s="20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5"/>
      <c r="I682" s="20"/>
      <c r="J682" s="20"/>
      <c r="K682" s="21"/>
      <c r="L682" s="20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5"/>
      <c r="I683" s="20"/>
      <c r="J683" s="20"/>
      <c r="K683" s="21"/>
      <c r="L683" s="20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5"/>
      <c r="I684" s="20"/>
      <c r="J684" s="20"/>
      <c r="K684" s="21"/>
      <c r="L684" s="20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5"/>
      <c r="I685" s="20"/>
      <c r="J685" s="20"/>
      <c r="K685" s="21"/>
      <c r="L685" s="20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5"/>
      <c r="I686" s="20"/>
      <c r="J686" s="20"/>
      <c r="K686" s="21"/>
      <c r="L686" s="20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5"/>
      <c r="I687" s="20"/>
      <c r="J687" s="20"/>
      <c r="K687" s="21"/>
      <c r="L687" s="20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5"/>
      <c r="I688" s="20"/>
      <c r="J688" s="20"/>
      <c r="K688" s="21"/>
      <c r="L688" s="20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5"/>
      <c r="I689" s="20"/>
      <c r="J689" s="20"/>
      <c r="K689" s="21"/>
      <c r="L689" s="20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5"/>
      <c r="I690" s="20"/>
      <c r="J690" s="20"/>
      <c r="K690" s="21"/>
      <c r="L690" s="20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5"/>
      <c r="I691" s="20"/>
      <c r="J691" s="20"/>
      <c r="K691" s="21"/>
      <c r="L691" s="20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5"/>
      <c r="I692" s="20"/>
      <c r="J692" s="20"/>
      <c r="K692" s="21"/>
      <c r="L692" s="20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5"/>
      <c r="I693" s="20"/>
      <c r="J693" s="20"/>
      <c r="K693" s="21"/>
      <c r="L693" s="20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5"/>
      <c r="I694" s="20"/>
      <c r="J694" s="20"/>
      <c r="K694" s="21"/>
      <c r="L694" s="20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5"/>
      <c r="I695" s="20"/>
      <c r="J695" s="20"/>
      <c r="K695" s="21"/>
      <c r="L695" s="20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5"/>
      <c r="I696" s="20"/>
      <c r="J696" s="20"/>
      <c r="K696" s="21"/>
      <c r="L696" s="20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5"/>
      <c r="I697" s="20"/>
      <c r="J697" s="20"/>
      <c r="K697" s="21"/>
      <c r="L697" s="20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5"/>
      <c r="I698" s="20"/>
      <c r="J698" s="20"/>
      <c r="K698" s="21"/>
      <c r="L698" s="20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5"/>
      <c r="I699" s="20"/>
      <c r="J699" s="20"/>
      <c r="K699" s="21"/>
      <c r="L699" s="20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5"/>
      <c r="I700" s="20"/>
      <c r="J700" s="20"/>
      <c r="K700" s="21"/>
      <c r="L700" s="20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5"/>
      <c r="I701" s="20"/>
      <c r="J701" s="20"/>
      <c r="K701" s="21"/>
      <c r="L701" s="20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5"/>
      <c r="I702" s="20"/>
      <c r="J702" s="20"/>
      <c r="K702" s="21"/>
      <c r="L702" s="20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5"/>
      <c r="I703" s="20"/>
      <c r="J703" s="20"/>
      <c r="K703" s="21"/>
      <c r="L703" s="20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5"/>
      <c r="I704" s="20"/>
      <c r="J704" s="20"/>
      <c r="K704" s="21"/>
      <c r="L704" s="20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5"/>
      <c r="I705" s="20"/>
      <c r="J705" s="20"/>
      <c r="K705" s="21"/>
      <c r="L705" s="20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5"/>
      <c r="I706" s="20"/>
      <c r="J706" s="20"/>
      <c r="K706" s="21"/>
      <c r="L706" s="20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5"/>
      <c r="I707" s="20"/>
      <c r="J707" s="20"/>
      <c r="K707" s="21"/>
      <c r="L707" s="20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5"/>
      <c r="I708" s="20"/>
      <c r="J708" s="20"/>
      <c r="K708" s="21"/>
      <c r="L708" s="20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5"/>
      <c r="I709" s="20"/>
      <c r="J709" s="20"/>
      <c r="K709" s="21"/>
      <c r="L709" s="20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5"/>
      <c r="I710" s="20"/>
      <c r="J710" s="20"/>
      <c r="K710" s="21"/>
      <c r="L710" s="20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5"/>
      <c r="I711" s="20"/>
      <c r="J711" s="20"/>
      <c r="K711" s="21"/>
      <c r="L711" s="20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5"/>
      <c r="I712" s="20"/>
      <c r="J712" s="20"/>
      <c r="K712" s="21"/>
      <c r="L712" s="20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5"/>
      <c r="I713" s="20"/>
      <c r="J713" s="20"/>
      <c r="K713" s="21"/>
      <c r="L713" s="20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5"/>
      <c r="I714" s="20"/>
      <c r="J714" s="20"/>
      <c r="K714" s="21"/>
      <c r="L714" s="20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5"/>
      <c r="I715" s="20"/>
      <c r="J715" s="20"/>
      <c r="K715" s="21"/>
      <c r="L715" s="20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5"/>
      <c r="I716" s="20"/>
      <c r="J716" s="20"/>
      <c r="K716" s="21"/>
      <c r="L716" s="20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5"/>
      <c r="I717" s="20"/>
      <c r="J717" s="20"/>
      <c r="K717" s="21"/>
      <c r="L717" s="20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5"/>
      <c r="I718" s="20"/>
      <c r="J718" s="20"/>
      <c r="K718" s="21"/>
      <c r="L718" s="20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5"/>
      <c r="I719" s="20"/>
      <c r="J719" s="20"/>
      <c r="K719" s="21"/>
      <c r="L719" s="20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5"/>
      <c r="I720" s="20"/>
      <c r="J720" s="20"/>
      <c r="K720" s="21"/>
      <c r="L720" s="20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5"/>
      <c r="I721" s="20"/>
      <c r="J721" s="20"/>
      <c r="K721" s="21"/>
      <c r="L721" s="20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5"/>
      <c r="I722" s="20"/>
      <c r="J722" s="20"/>
      <c r="K722" s="21"/>
      <c r="L722" s="20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5"/>
      <c r="I723" s="20"/>
      <c r="J723" s="20"/>
      <c r="K723" s="21"/>
      <c r="L723" s="20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5"/>
      <c r="I724" s="20"/>
      <c r="J724" s="20"/>
      <c r="K724" s="21"/>
      <c r="L724" s="20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5"/>
      <c r="I725" s="20"/>
      <c r="J725" s="20"/>
      <c r="K725" s="21"/>
      <c r="L725" s="20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5"/>
      <c r="I726" s="20"/>
      <c r="J726" s="20"/>
      <c r="K726" s="21"/>
      <c r="L726" s="20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5"/>
      <c r="I727" s="20"/>
      <c r="J727" s="20"/>
      <c r="K727" s="21"/>
      <c r="L727" s="20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5"/>
      <c r="I728" s="20"/>
      <c r="J728" s="20"/>
      <c r="K728" s="21"/>
      <c r="L728" s="20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5"/>
      <c r="I729" s="20"/>
      <c r="J729" s="20"/>
      <c r="K729" s="21"/>
      <c r="L729" s="20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5"/>
      <c r="I730" s="20"/>
      <c r="J730" s="20"/>
      <c r="K730" s="21"/>
      <c r="L730" s="20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5"/>
      <c r="I731" s="20"/>
      <c r="J731" s="20"/>
      <c r="K731" s="21"/>
      <c r="L731" s="20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5"/>
      <c r="I732" s="20"/>
      <c r="J732" s="20"/>
      <c r="K732" s="21"/>
      <c r="L732" s="20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5"/>
      <c r="I733" s="20"/>
      <c r="J733" s="20"/>
      <c r="K733" s="21"/>
      <c r="L733" s="20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5"/>
      <c r="I734" s="20"/>
      <c r="J734" s="20"/>
      <c r="K734" s="21"/>
      <c r="L734" s="20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5"/>
      <c r="I735" s="20"/>
      <c r="J735" s="20"/>
      <c r="K735" s="21"/>
      <c r="L735" s="20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5"/>
      <c r="I736" s="20"/>
      <c r="J736" s="20"/>
      <c r="K736" s="21"/>
      <c r="L736" s="20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5"/>
      <c r="I737" s="20"/>
      <c r="J737" s="20"/>
      <c r="K737" s="21"/>
      <c r="L737" s="20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5"/>
      <c r="I738" s="20"/>
      <c r="J738" s="20"/>
      <c r="K738" s="21"/>
      <c r="L738" s="20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5"/>
      <c r="I739" s="20"/>
      <c r="J739" s="20"/>
      <c r="K739" s="21"/>
      <c r="L739" s="20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5"/>
      <c r="I740" s="20"/>
      <c r="J740" s="20"/>
      <c r="K740" s="21"/>
      <c r="L740" s="20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5"/>
      <c r="I741" s="20"/>
      <c r="J741" s="20"/>
      <c r="K741" s="21"/>
      <c r="L741" s="20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5"/>
      <c r="I742" s="20"/>
      <c r="J742" s="20"/>
      <c r="K742" s="21"/>
      <c r="L742" s="20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5"/>
      <c r="I743" s="20"/>
      <c r="J743" s="20"/>
      <c r="K743" s="21"/>
      <c r="L743" s="20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5"/>
      <c r="I744" s="20"/>
      <c r="J744" s="20"/>
      <c r="K744" s="21"/>
      <c r="L744" s="20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5"/>
      <c r="I745" s="20"/>
      <c r="J745" s="20"/>
      <c r="K745" s="21"/>
      <c r="L745" s="20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5"/>
      <c r="I746" s="20"/>
      <c r="J746" s="20"/>
      <c r="K746" s="21"/>
      <c r="L746" s="20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5"/>
      <c r="I747" s="20"/>
      <c r="J747" s="20"/>
      <c r="K747" s="21"/>
      <c r="L747" s="20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5"/>
      <c r="I748" s="20"/>
      <c r="J748" s="20"/>
      <c r="K748" s="21"/>
      <c r="L748" s="20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5"/>
      <c r="I749" s="20"/>
      <c r="J749" s="20"/>
      <c r="K749" s="21"/>
      <c r="L749" s="20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5"/>
      <c r="I750" s="20"/>
      <c r="J750" s="20"/>
      <c r="K750" s="21"/>
      <c r="L750" s="20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5"/>
      <c r="I751" s="20"/>
      <c r="J751" s="20"/>
      <c r="K751" s="21"/>
      <c r="L751" s="20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5"/>
      <c r="I752" s="20"/>
      <c r="J752" s="20"/>
      <c r="K752" s="21"/>
      <c r="L752" s="20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5"/>
      <c r="I753" s="20"/>
      <c r="J753" s="20"/>
      <c r="K753" s="21"/>
      <c r="L753" s="20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5"/>
      <c r="I754" s="20"/>
      <c r="J754" s="20"/>
      <c r="K754" s="21"/>
      <c r="L754" s="20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5"/>
      <c r="I755" s="20"/>
      <c r="J755" s="20"/>
      <c r="K755" s="21"/>
      <c r="L755" s="20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5"/>
      <c r="I756" s="20"/>
      <c r="J756" s="20"/>
      <c r="K756" s="21"/>
      <c r="L756" s="20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5"/>
      <c r="I757" s="20"/>
      <c r="J757" s="20"/>
      <c r="K757" s="21"/>
      <c r="L757" s="20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5"/>
      <c r="I758" s="20"/>
      <c r="J758" s="20"/>
      <c r="K758" s="21"/>
      <c r="L758" s="20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5"/>
      <c r="I759" s="20"/>
      <c r="J759" s="20"/>
      <c r="K759" s="21"/>
      <c r="L759" s="20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5"/>
      <c r="I760" s="20"/>
      <c r="J760" s="20"/>
      <c r="K760" s="21"/>
      <c r="L760" s="20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5"/>
      <c r="I761" s="20"/>
      <c r="J761" s="20"/>
      <c r="K761" s="21"/>
      <c r="L761" s="20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5"/>
      <c r="I762" s="20"/>
      <c r="J762" s="20"/>
      <c r="K762" s="21"/>
      <c r="L762" s="20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5"/>
      <c r="I763" s="20"/>
      <c r="J763" s="20"/>
      <c r="K763" s="21"/>
      <c r="L763" s="20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5"/>
      <c r="I764" s="20"/>
      <c r="J764" s="20"/>
      <c r="K764" s="21"/>
      <c r="L764" s="20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5"/>
      <c r="I765" s="20"/>
      <c r="J765" s="20"/>
      <c r="K765" s="21"/>
      <c r="L765" s="20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5"/>
      <c r="I766" s="20"/>
      <c r="J766" s="20"/>
      <c r="K766" s="21"/>
      <c r="L766" s="20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5"/>
      <c r="I767" s="20"/>
      <c r="J767" s="20"/>
      <c r="K767" s="21"/>
      <c r="L767" s="20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5"/>
      <c r="I768" s="20"/>
      <c r="J768" s="20"/>
      <c r="K768" s="21"/>
      <c r="L768" s="20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5"/>
      <c r="I769" s="20"/>
      <c r="J769" s="20"/>
      <c r="K769" s="21"/>
      <c r="L769" s="20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5"/>
      <c r="I770" s="20"/>
      <c r="J770" s="20"/>
      <c r="K770" s="21"/>
      <c r="L770" s="20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5"/>
      <c r="I771" s="20"/>
      <c r="J771" s="20"/>
      <c r="K771" s="21"/>
      <c r="L771" s="20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5"/>
      <c r="I772" s="20"/>
      <c r="J772" s="20"/>
      <c r="K772" s="21"/>
      <c r="L772" s="20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5"/>
      <c r="I773" s="20"/>
      <c r="J773" s="20"/>
      <c r="K773" s="21"/>
      <c r="L773" s="20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5"/>
      <c r="I774" s="20"/>
      <c r="J774" s="20"/>
      <c r="K774" s="21"/>
      <c r="L774" s="20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5"/>
      <c r="I775" s="20"/>
      <c r="J775" s="20"/>
      <c r="K775" s="21"/>
      <c r="L775" s="20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5"/>
      <c r="I776" s="20"/>
      <c r="J776" s="20"/>
      <c r="K776" s="21"/>
      <c r="L776" s="20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5"/>
      <c r="I777" s="20"/>
      <c r="J777" s="20"/>
      <c r="K777" s="21"/>
      <c r="L777" s="20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5"/>
      <c r="I778" s="20"/>
      <c r="J778" s="20"/>
      <c r="K778" s="21"/>
      <c r="L778" s="20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5"/>
      <c r="I779" s="20"/>
      <c r="J779" s="20"/>
      <c r="K779" s="21"/>
      <c r="L779" s="20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5"/>
      <c r="I780" s="20"/>
      <c r="J780" s="20"/>
      <c r="K780" s="21"/>
      <c r="L780" s="20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5"/>
      <c r="I781" s="20"/>
      <c r="J781" s="20"/>
      <c r="K781" s="21"/>
      <c r="L781" s="20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5"/>
      <c r="I782" s="20"/>
      <c r="J782" s="20"/>
      <c r="K782" s="21"/>
      <c r="L782" s="20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5"/>
      <c r="I783" s="20"/>
      <c r="J783" s="20"/>
      <c r="K783" s="21"/>
      <c r="L783" s="20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5"/>
      <c r="I784" s="20"/>
      <c r="J784" s="20"/>
      <c r="K784" s="21"/>
      <c r="L784" s="20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5"/>
      <c r="I785" s="20"/>
      <c r="J785" s="20"/>
      <c r="K785" s="21"/>
      <c r="L785" s="20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5"/>
      <c r="I786" s="20"/>
      <c r="J786" s="20"/>
      <c r="K786" s="21"/>
      <c r="L786" s="20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5"/>
      <c r="I787" s="20"/>
      <c r="J787" s="20"/>
      <c r="K787" s="21"/>
      <c r="L787" s="20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5"/>
      <c r="I788" s="20"/>
      <c r="J788" s="20"/>
      <c r="K788" s="21"/>
      <c r="L788" s="20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5"/>
      <c r="I789" s="20"/>
      <c r="J789" s="20"/>
      <c r="K789" s="21"/>
      <c r="L789" s="20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5"/>
      <c r="I790" s="20"/>
      <c r="J790" s="20"/>
      <c r="K790" s="21"/>
      <c r="L790" s="20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5"/>
      <c r="I791" s="20"/>
      <c r="J791" s="20"/>
      <c r="K791" s="21"/>
      <c r="L791" s="20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5"/>
      <c r="I792" s="20"/>
      <c r="J792" s="20"/>
      <c r="K792" s="21"/>
      <c r="L792" s="20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5"/>
      <c r="I793" s="20"/>
      <c r="J793" s="20"/>
      <c r="K793" s="21"/>
      <c r="L793" s="20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5"/>
      <c r="I794" s="20"/>
      <c r="J794" s="20"/>
      <c r="K794" s="21"/>
      <c r="L794" s="20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5"/>
      <c r="I795" s="20"/>
      <c r="J795" s="20"/>
      <c r="K795" s="21"/>
      <c r="L795" s="20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5"/>
      <c r="I796" s="20"/>
      <c r="J796" s="20"/>
      <c r="K796" s="21"/>
      <c r="L796" s="20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5"/>
      <c r="I797" s="20"/>
      <c r="J797" s="20"/>
      <c r="K797" s="21"/>
      <c r="L797" s="20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5"/>
      <c r="I798" s="20"/>
      <c r="J798" s="20"/>
      <c r="K798" s="21"/>
      <c r="L798" s="20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5"/>
      <c r="I799" s="20"/>
      <c r="J799" s="20"/>
      <c r="K799" s="21"/>
      <c r="L799" s="20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5"/>
      <c r="I800" s="20"/>
      <c r="J800" s="20"/>
      <c r="K800" s="21"/>
      <c r="L800" s="20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5"/>
      <c r="I801" s="20"/>
      <c r="J801" s="20"/>
      <c r="K801" s="21"/>
      <c r="L801" s="20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5"/>
      <c r="I802" s="20"/>
      <c r="J802" s="20"/>
      <c r="K802" s="21"/>
      <c r="L802" s="20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5"/>
      <c r="I803" s="20"/>
      <c r="J803" s="20"/>
      <c r="K803" s="21"/>
      <c r="L803" s="20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5"/>
      <c r="I804" s="20"/>
      <c r="J804" s="20"/>
      <c r="K804" s="21"/>
      <c r="L804" s="20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5"/>
      <c r="I805" s="20"/>
      <c r="J805" s="20"/>
      <c r="K805" s="21"/>
      <c r="L805" s="20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5"/>
      <c r="I806" s="20"/>
      <c r="J806" s="20"/>
      <c r="K806" s="21"/>
      <c r="L806" s="20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5"/>
      <c r="I807" s="20"/>
      <c r="J807" s="20"/>
      <c r="K807" s="21"/>
      <c r="L807" s="20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5"/>
      <c r="I808" s="20"/>
      <c r="J808" s="20"/>
      <c r="K808" s="21"/>
      <c r="L808" s="20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5"/>
      <c r="I809" s="20"/>
      <c r="J809" s="20"/>
      <c r="K809" s="21"/>
      <c r="L809" s="20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5"/>
      <c r="I810" s="20"/>
      <c r="J810" s="20"/>
      <c r="K810" s="21"/>
      <c r="L810" s="20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5"/>
      <c r="I811" s="20"/>
      <c r="J811" s="20"/>
      <c r="K811" s="21"/>
      <c r="L811" s="20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5"/>
      <c r="I812" s="20"/>
      <c r="J812" s="20"/>
      <c r="K812" s="21"/>
      <c r="L812" s="20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5"/>
      <c r="I813" s="20"/>
      <c r="J813" s="20"/>
      <c r="K813" s="21"/>
      <c r="L813" s="20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5"/>
      <c r="I814" s="20"/>
      <c r="J814" s="20"/>
      <c r="K814" s="21"/>
      <c r="L814" s="20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5"/>
      <c r="I815" s="20"/>
      <c r="J815" s="20"/>
      <c r="K815" s="21"/>
      <c r="L815" s="20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5"/>
      <c r="I816" s="20"/>
      <c r="J816" s="20"/>
      <c r="K816" s="21"/>
      <c r="L816" s="20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5"/>
      <c r="I817" s="20"/>
      <c r="J817" s="20"/>
      <c r="K817" s="21"/>
      <c r="L817" s="20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5"/>
      <c r="I818" s="20"/>
      <c r="J818" s="20"/>
      <c r="K818" s="21"/>
      <c r="L818" s="20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5"/>
      <c r="I819" s="20"/>
      <c r="J819" s="20"/>
      <c r="K819" s="21"/>
      <c r="L819" s="20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5"/>
      <c r="I820" s="20"/>
      <c r="J820" s="20"/>
      <c r="K820" s="21"/>
      <c r="L820" s="20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5"/>
      <c r="I821" s="20"/>
      <c r="J821" s="20"/>
      <c r="K821" s="21"/>
      <c r="L821" s="20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5"/>
      <c r="I822" s="20"/>
      <c r="J822" s="20"/>
      <c r="K822" s="21"/>
      <c r="L822" s="20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5"/>
      <c r="I823" s="20"/>
      <c r="J823" s="20"/>
      <c r="K823" s="21"/>
      <c r="L823" s="20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5"/>
      <c r="I824" s="20"/>
      <c r="J824" s="20"/>
      <c r="K824" s="21"/>
      <c r="L824" s="20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5"/>
      <c r="I825" s="20"/>
      <c r="J825" s="20"/>
      <c r="K825" s="21"/>
      <c r="L825" s="20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5"/>
      <c r="I826" s="20"/>
      <c r="J826" s="20"/>
      <c r="K826" s="21"/>
      <c r="L826" s="20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5"/>
      <c r="I827" s="20"/>
      <c r="J827" s="20"/>
      <c r="K827" s="21"/>
      <c r="L827" s="20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5"/>
      <c r="I828" s="20"/>
      <c r="J828" s="20"/>
      <c r="K828" s="21"/>
      <c r="L828" s="20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5"/>
      <c r="I829" s="20"/>
      <c r="J829" s="20"/>
      <c r="K829" s="21"/>
      <c r="L829" s="20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5"/>
      <c r="I830" s="20"/>
      <c r="J830" s="20"/>
      <c r="K830" s="21"/>
      <c r="L830" s="20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5"/>
      <c r="I831" s="20"/>
      <c r="J831" s="20"/>
      <c r="K831" s="21"/>
      <c r="L831" s="20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5"/>
      <c r="I832" s="20"/>
      <c r="J832" s="20"/>
      <c r="K832" s="21"/>
      <c r="L832" s="20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5"/>
      <c r="I833" s="20"/>
      <c r="J833" s="20"/>
      <c r="K833" s="21"/>
      <c r="L833" s="20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5"/>
      <c r="I834" s="20"/>
      <c r="J834" s="20"/>
      <c r="K834" s="21"/>
      <c r="L834" s="20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5"/>
      <c r="I835" s="20"/>
      <c r="J835" s="20"/>
      <c r="K835" s="21"/>
      <c r="L835" s="20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5"/>
      <c r="I836" s="20"/>
      <c r="J836" s="20"/>
      <c r="K836" s="21"/>
      <c r="L836" s="20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5"/>
      <c r="I837" s="20"/>
      <c r="J837" s="20"/>
      <c r="K837" s="21"/>
      <c r="L837" s="20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5"/>
      <c r="I838" s="20"/>
      <c r="J838" s="20"/>
      <c r="K838" s="21"/>
      <c r="L838" s="20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5"/>
      <c r="I839" s="20"/>
      <c r="J839" s="20"/>
      <c r="K839" s="21"/>
      <c r="L839" s="20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5"/>
      <c r="I840" s="20"/>
      <c r="J840" s="20"/>
      <c r="K840" s="21"/>
      <c r="L840" s="20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5"/>
      <c r="I841" s="20"/>
      <c r="J841" s="20"/>
      <c r="K841" s="21"/>
      <c r="L841" s="20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5"/>
      <c r="I842" s="20"/>
      <c r="J842" s="20"/>
      <c r="K842" s="21"/>
      <c r="L842" s="20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5"/>
      <c r="I843" s="20"/>
      <c r="J843" s="20"/>
      <c r="K843" s="21"/>
      <c r="L843" s="20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5"/>
      <c r="I844" s="20"/>
      <c r="J844" s="20"/>
      <c r="K844" s="21"/>
      <c r="L844" s="20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5"/>
      <c r="I845" s="20"/>
      <c r="J845" s="20"/>
      <c r="K845" s="21"/>
      <c r="L845" s="20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5"/>
      <c r="I846" s="20"/>
      <c r="J846" s="20"/>
      <c r="K846" s="21"/>
      <c r="L846" s="20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5"/>
      <c r="I847" s="20"/>
      <c r="J847" s="20"/>
      <c r="K847" s="21"/>
      <c r="L847" s="20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5"/>
      <c r="I848" s="20"/>
      <c r="J848" s="20"/>
      <c r="K848" s="21"/>
      <c r="L848" s="20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5"/>
      <c r="I849" s="20"/>
      <c r="J849" s="20"/>
      <c r="K849" s="21"/>
      <c r="L849" s="20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5"/>
      <c r="I850" s="20"/>
      <c r="J850" s="20"/>
      <c r="K850" s="21"/>
      <c r="L850" s="20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5"/>
      <c r="I851" s="20"/>
      <c r="J851" s="20"/>
      <c r="K851" s="21"/>
      <c r="L851" s="20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5"/>
      <c r="I852" s="20"/>
      <c r="J852" s="20"/>
      <c r="K852" s="21"/>
      <c r="L852" s="20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5"/>
      <c r="I853" s="20"/>
      <c r="J853" s="20"/>
      <c r="K853" s="21"/>
      <c r="L853" s="20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5"/>
      <c r="I854" s="20"/>
      <c r="J854" s="20"/>
      <c r="K854" s="21"/>
      <c r="L854" s="20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5"/>
      <c r="I855" s="20"/>
      <c r="J855" s="20"/>
      <c r="K855" s="21"/>
      <c r="L855" s="20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5"/>
      <c r="I856" s="20"/>
      <c r="J856" s="20"/>
      <c r="K856" s="21"/>
      <c r="L856" s="20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5"/>
      <c r="I857" s="20"/>
      <c r="J857" s="20"/>
      <c r="K857" s="21"/>
      <c r="L857" s="20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5"/>
      <c r="I858" s="20"/>
      <c r="J858" s="20"/>
      <c r="K858" s="21"/>
      <c r="L858" s="20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5"/>
      <c r="I859" s="20"/>
      <c r="J859" s="20"/>
      <c r="K859" s="21"/>
      <c r="L859" s="20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5"/>
      <c r="I860" s="20"/>
      <c r="J860" s="20"/>
      <c r="K860" s="21"/>
      <c r="L860" s="20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5"/>
      <c r="I861" s="20"/>
      <c r="J861" s="20"/>
      <c r="K861" s="21"/>
      <c r="L861" s="20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5"/>
      <c r="I862" s="20"/>
      <c r="J862" s="20"/>
      <c r="K862" s="21"/>
      <c r="L862" s="20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5"/>
      <c r="I863" s="20"/>
      <c r="J863" s="20"/>
      <c r="K863" s="21"/>
      <c r="L863" s="20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5"/>
      <c r="I864" s="20"/>
      <c r="J864" s="20"/>
      <c r="K864" s="21"/>
      <c r="L864" s="20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5"/>
      <c r="I865" s="20"/>
      <c r="J865" s="20"/>
      <c r="K865" s="21"/>
      <c r="L865" s="20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5"/>
      <c r="I866" s="20"/>
      <c r="J866" s="20"/>
      <c r="K866" s="21"/>
      <c r="L866" s="20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5"/>
      <c r="I867" s="20"/>
      <c r="J867" s="20"/>
      <c r="K867" s="21"/>
      <c r="L867" s="20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5"/>
      <c r="I868" s="20"/>
      <c r="J868" s="20"/>
      <c r="K868" s="21"/>
      <c r="L868" s="20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5"/>
      <c r="I869" s="20"/>
      <c r="J869" s="20"/>
      <c r="K869" s="21"/>
      <c r="L869" s="20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5"/>
      <c r="I870" s="20"/>
      <c r="J870" s="20"/>
      <c r="K870" s="21"/>
      <c r="L870" s="20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5"/>
      <c r="I871" s="20"/>
      <c r="J871" s="20"/>
      <c r="K871" s="21"/>
      <c r="L871" s="20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5"/>
      <c r="I872" s="20"/>
      <c r="J872" s="20"/>
      <c r="K872" s="21"/>
      <c r="L872" s="20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5"/>
      <c r="I873" s="20"/>
      <c r="J873" s="20"/>
      <c r="K873" s="21"/>
      <c r="L873" s="20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5"/>
      <c r="I874" s="20"/>
      <c r="J874" s="20"/>
      <c r="K874" s="21"/>
      <c r="L874" s="20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5"/>
      <c r="I875" s="20"/>
      <c r="J875" s="20"/>
      <c r="K875" s="21"/>
      <c r="L875" s="20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5"/>
      <c r="I876" s="20"/>
      <c r="J876" s="20"/>
      <c r="K876" s="21"/>
      <c r="L876" s="20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5"/>
      <c r="I877" s="20"/>
      <c r="J877" s="20"/>
      <c r="K877" s="21"/>
      <c r="L877" s="20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5"/>
      <c r="I878" s="20"/>
      <c r="J878" s="20"/>
      <c r="K878" s="21"/>
      <c r="L878" s="20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5"/>
      <c r="I879" s="20"/>
      <c r="J879" s="20"/>
      <c r="K879" s="21"/>
      <c r="L879" s="20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5"/>
      <c r="I880" s="20"/>
      <c r="J880" s="20"/>
      <c r="K880" s="21"/>
      <c r="L880" s="20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5"/>
      <c r="I881" s="20"/>
      <c r="J881" s="20"/>
      <c r="K881" s="21"/>
      <c r="L881" s="20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5"/>
      <c r="I882" s="20"/>
      <c r="J882" s="20"/>
      <c r="K882" s="21"/>
      <c r="L882" s="20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5"/>
      <c r="I883" s="20"/>
      <c r="J883" s="20"/>
      <c r="K883" s="21"/>
      <c r="L883" s="20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5"/>
      <c r="I884" s="20"/>
      <c r="J884" s="20"/>
      <c r="K884" s="21"/>
      <c r="L884" s="20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5"/>
      <c r="I885" s="20"/>
      <c r="J885" s="20"/>
      <c r="K885" s="21"/>
      <c r="L885" s="20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5"/>
      <c r="I886" s="20"/>
      <c r="J886" s="20"/>
      <c r="K886" s="21"/>
      <c r="L886" s="20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5"/>
      <c r="I887" s="20"/>
      <c r="J887" s="20"/>
      <c r="K887" s="21"/>
      <c r="L887" s="20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5"/>
      <c r="I888" s="20"/>
      <c r="J888" s="20"/>
      <c r="K888" s="21"/>
      <c r="L888" s="20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5"/>
      <c r="I889" s="20"/>
      <c r="J889" s="20"/>
      <c r="K889" s="21"/>
      <c r="L889" s="20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5"/>
      <c r="I890" s="20"/>
      <c r="J890" s="20"/>
      <c r="K890" s="21"/>
      <c r="L890" s="20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5"/>
      <c r="I891" s="20"/>
      <c r="J891" s="20"/>
      <c r="K891" s="21"/>
      <c r="L891" s="20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5"/>
      <c r="I892" s="20"/>
      <c r="J892" s="20"/>
      <c r="K892" s="21"/>
      <c r="L892" s="20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5"/>
      <c r="I893" s="20"/>
      <c r="J893" s="20"/>
      <c r="K893" s="21"/>
      <c r="L893" s="20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5"/>
      <c r="I894" s="20"/>
      <c r="J894" s="20"/>
      <c r="K894" s="21"/>
      <c r="L894" s="20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5"/>
      <c r="I895" s="20"/>
      <c r="J895" s="20"/>
      <c r="K895" s="21"/>
      <c r="L895" s="20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5"/>
      <c r="I896" s="20"/>
      <c r="J896" s="20"/>
      <c r="K896" s="21"/>
      <c r="L896" s="20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5"/>
      <c r="I897" s="20"/>
      <c r="J897" s="20"/>
      <c r="K897" s="21"/>
      <c r="L897" s="20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5"/>
      <c r="I898" s="20"/>
      <c r="J898" s="20"/>
      <c r="K898" s="21"/>
      <c r="L898" s="20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5"/>
      <c r="I899" s="20"/>
      <c r="J899" s="20"/>
      <c r="K899" s="21"/>
      <c r="L899" s="20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5"/>
      <c r="I900" s="20"/>
      <c r="J900" s="20"/>
      <c r="K900" s="21"/>
      <c r="L900" s="20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5"/>
      <c r="I901" s="20"/>
      <c r="J901" s="20"/>
      <c r="K901" s="21"/>
      <c r="L901" s="20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5"/>
      <c r="I902" s="20"/>
      <c r="J902" s="20"/>
      <c r="K902" s="21"/>
      <c r="L902" s="20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5"/>
      <c r="I903" s="20"/>
      <c r="J903" s="20"/>
      <c r="K903" s="21"/>
      <c r="L903" s="20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5"/>
      <c r="I904" s="20"/>
      <c r="J904" s="20"/>
      <c r="K904" s="21"/>
      <c r="L904" s="20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5"/>
      <c r="I905" s="20"/>
      <c r="J905" s="20"/>
      <c r="K905" s="21"/>
      <c r="L905" s="20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5"/>
      <c r="I906" s="20"/>
      <c r="J906" s="20"/>
      <c r="K906" s="21"/>
      <c r="L906" s="20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5"/>
      <c r="I907" s="20"/>
      <c r="J907" s="20"/>
      <c r="K907" s="21"/>
      <c r="L907" s="20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5"/>
      <c r="I908" s="20"/>
      <c r="J908" s="20"/>
      <c r="K908" s="21"/>
      <c r="L908" s="20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5"/>
      <c r="I909" s="20"/>
      <c r="J909" s="20"/>
      <c r="K909" s="21"/>
      <c r="L909" s="20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5"/>
      <c r="I910" s="20"/>
      <c r="J910" s="20"/>
      <c r="K910" s="21"/>
      <c r="L910" s="20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5"/>
      <c r="I911" s="20"/>
      <c r="J911" s="20"/>
      <c r="K911" s="21"/>
      <c r="L911" s="20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5"/>
      <c r="I912" s="20"/>
      <c r="J912" s="20"/>
      <c r="K912" s="21"/>
      <c r="L912" s="20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5"/>
      <c r="I913" s="20"/>
      <c r="J913" s="20"/>
      <c r="K913" s="21"/>
      <c r="L913" s="20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5"/>
      <c r="I914" s="20"/>
      <c r="J914" s="20"/>
      <c r="K914" s="21"/>
      <c r="L914" s="20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5"/>
      <c r="I915" s="20"/>
      <c r="J915" s="20"/>
      <c r="K915" s="21"/>
      <c r="L915" s="20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5"/>
      <c r="I916" s="20"/>
      <c r="J916" s="20"/>
      <c r="K916" s="21"/>
      <c r="L916" s="20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5"/>
      <c r="I917" s="20"/>
      <c r="J917" s="20"/>
      <c r="K917" s="21"/>
      <c r="L917" s="20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5"/>
      <c r="I918" s="20"/>
      <c r="J918" s="20"/>
      <c r="K918" s="21"/>
      <c r="L918" s="20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5"/>
      <c r="I919" s="20"/>
      <c r="J919" s="20"/>
      <c r="K919" s="21"/>
      <c r="L919" s="20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5"/>
      <c r="I920" s="20"/>
      <c r="J920" s="20"/>
      <c r="K920" s="21"/>
      <c r="L920" s="20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5"/>
      <c r="I921" s="20"/>
      <c r="J921" s="20"/>
      <c r="K921" s="21"/>
      <c r="L921" s="20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5"/>
      <c r="I922" s="20"/>
      <c r="J922" s="20"/>
      <c r="K922" s="21"/>
      <c r="L922" s="20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5"/>
      <c r="I923" s="20"/>
      <c r="J923" s="20"/>
      <c r="K923" s="21"/>
      <c r="L923" s="20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5"/>
      <c r="I924" s="20"/>
      <c r="J924" s="20"/>
      <c r="K924" s="21"/>
      <c r="L924" s="20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5"/>
      <c r="I925" s="20"/>
      <c r="J925" s="20"/>
      <c r="K925" s="21"/>
      <c r="L925" s="20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5"/>
      <c r="I926" s="20"/>
      <c r="J926" s="20"/>
      <c r="K926" s="21"/>
      <c r="L926" s="20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5"/>
      <c r="I927" s="20"/>
      <c r="J927" s="20"/>
      <c r="K927" s="21"/>
      <c r="L927" s="20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5"/>
      <c r="I928" s="20"/>
      <c r="J928" s="20"/>
      <c r="K928" s="21"/>
      <c r="L928" s="20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5"/>
      <c r="I929" s="20"/>
      <c r="J929" s="20"/>
      <c r="K929" s="21"/>
      <c r="L929" s="20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5"/>
      <c r="I930" s="20"/>
      <c r="J930" s="20"/>
      <c r="K930" s="21"/>
      <c r="L930" s="20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5"/>
      <c r="I931" s="20"/>
      <c r="J931" s="20"/>
      <c r="K931" s="21"/>
      <c r="L931" s="20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5"/>
      <c r="I932" s="20"/>
      <c r="J932" s="20"/>
      <c r="K932" s="21"/>
      <c r="L932" s="20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5"/>
      <c r="I933" s="20"/>
      <c r="J933" s="20"/>
      <c r="K933" s="21"/>
      <c r="L933" s="20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5"/>
      <c r="I934" s="20"/>
      <c r="J934" s="20"/>
      <c r="K934" s="21"/>
      <c r="L934" s="20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5"/>
      <c r="I935" s="20"/>
      <c r="J935" s="20"/>
      <c r="K935" s="21"/>
      <c r="L935" s="20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5"/>
      <c r="I936" s="20"/>
      <c r="J936" s="20"/>
      <c r="K936" s="21"/>
      <c r="L936" s="20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5"/>
      <c r="I937" s="20"/>
      <c r="J937" s="20"/>
      <c r="K937" s="21"/>
      <c r="L937" s="20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5"/>
      <c r="I938" s="20"/>
      <c r="J938" s="20"/>
      <c r="K938" s="21"/>
      <c r="L938" s="20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5"/>
      <c r="I939" s="20"/>
      <c r="J939" s="20"/>
      <c r="K939" s="21"/>
      <c r="L939" s="20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5"/>
      <c r="I940" s="20"/>
      <c r="J940" s="20"/>
      <c r="K940" s="21"/>
      <c r="L940" s="20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5"/>
      <c r="I941" s="20"/>
      <c r="J941" s="20"/>
      <c r="K941" s="21"/>
      <c r="L941" s="20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5"/>
      <c r="I942" s="20"/>
      <c r="J942" s="20"/>
      <c r="K942" s="21"/>
      <c r="L942" s="20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5"/>
      <c r="I943" s="20"/>
      <c r="J943" s="20"/>
      <c r="K943" s="21"/>
      <c r="L943" s="20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5"/>
      <c r="I944" s="20"/>
      <c r="J944" s="20"/>
      <c r="K944" s="21"/>
      <c r="L944" s="20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5"/>
      <c r="I945" s="20"/>
      <c r="J945" s="20"/>
      <c r="K945" s="21"/>
      <c r="L945" s="20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5"/>
      <c r="I946" s="20"/>
      <c r="J946" s="20"/>
      <c r="K946" s="21"/>
      <c r="L946" s="20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5"/>
      <c r="I947" s="20"/>
      <c r="J947" s="20"/>
      <c r="K947" s="21"/>
      <c r="L947" s="20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5"/>
      <c r="I948" s="20"/>
      <c r="J948" s="20"/>
      <c r="K948" s="21"/>
      <c r="L948" s="20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5"/>
      <c r="I949" s="20"/>
      <c r="J949" s="20"/>
      <c r="K949" s="21"/>
      <c r="L949" s="20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5"/>
      <c r="I950" s="20"/>
      <c r="J950" s="20"/>
      <c r="K950" s="21"/>
      <c r="L950" s="20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5"/>
      <c r="I951" s="20"/>
      <c r="J951" s="20"/>
      <c r="K951" s="21"/>
      <c r="L951" s="20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5"/>
      <c r="I952" s="20"/>
      <c r="J952" s="20"/>
      <c r="K952" s="21"/>
      <c r="L952" s="20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5"/>
      <c r="I953" s="20"/>
      <c r="J953" s="20"/>
      <c r="K953" s="21"/>
      <c r="L953" s="20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5"/>
      <c r="I954" s="20"/>
      <c r="J954" s="20"/>
      <c r="K954" s="21"/>
      <c r="L954" s="20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5"/>
      <c r="I955" s="20"/>
      <c r="J955" s="20"/>
      <c r="K955" s="21"/>
      <c r="L955" s="20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5"/>
      <c r="I956" s="20"/>
      <c r="J956" s="20"/>
      <c r="K956" s="21"/>
      <c r="L956" s="20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5"/>
      <c r="I957" s="20"/>
      <c r="J957" s="20"/>
      <c r="K957" s="21"/>
      <c r="L957" s="20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5"/>
      <c r="I958" s="20"/>
      <c r="J958" s="20"/>
      <c r="K958" s="21"/>
      <c r="L958" s="20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5"/>
      <c r="I959" s="20"/>
      <c r="J959" s="20"/>
      <c r="K959" s="21"/>
      <c r="L959" s="20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5"/>
      <c r="I960" s="20"/>
      <c r="J960" s="20"/>
      <c r="K960" s="21"/>
      <c r="L960" s="20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5"/>
      <c r="I961" s="20"/>
      <c r="J961" s="20"/>
      <c r="K961" s="21"/>
      <c r="L961" s="20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5"/>
      <c r="I962" s="20"/>
      <c r="J962" s="20"/>
      <c r="K962" s="21"/>
      <c r="L962" s="20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5"/>
      <c r="I963" s="20"/>
      <c r="J963" s="20"/>
      <c r="K963" s="21"/>
      <c r="L963" s="20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5"/>
      <c r="I964" s="20"/>
      <c r="J964" s="20"/>
      <c r="K964" s="21"/>
      <c r="L964" s="20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5"/>
      <c r="I965" s="20"/>
      <c r="J965" s="20"/>
      <c r="K965" s="21"/>
      <c r="L965" s="20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5"/>
      <c r="I966" s="20"/>
      <c r="J966" s="20"/>
      <c r="K966" s="21"/>
      <c r="L966" s="20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5"/>
      <c r="I967" s="20"/>
      <c r="J967" s="20"/>
      <c r="K967" s="21"/>
      <c r="L967" s="20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5"/>
      <c r="I968" s="20"/>
      <c r="J968" s="20"/>
      <c r="K968" s="21"/>
      <c r="L968" s="20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5"/>
      <c r="I969" s="20"/>
      <c r="J969" s="20"/>
      <c r="K969" s="21"/>
      <c r="L969" s="20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5"/>
      <c r="I970" s="20"/>
      <c r="J970" s="20"/>
      <c r="K970" s="21"/>
      <c r="L970" s="20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5"/>
      <c r="I971" s="20"/>
      <c r="J971" s="20"/>
      <c r="K971" s="21"/>
      <c r="L971" s="20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5"/>
      <c r="I972" s="20"/>
      <c r="J972" s="20"/>
      <c r="K972" s="21"/>
      <c r="L972" s="20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5"/>
      <c r="I973" s="20"/>
      <c r="J973" s="20"/>
      <c r="K973" s="21"/>
      <c r="L973" s="20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5"/>
      <c r="I974" s="20"/>
      <c r="J974" s="20"/>
      <c r="K974" s="21"/>
      <c r="L974" s="20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5"/>
      <c r="I975" s="20"/>
      <c r="J975" s="20"/>
      <c r="K975" s="21"/>
      <c r="L975" s="20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5"/>
      <c r="I976" s="20"/>
      <c r="J976" s="20"/>
      <c r="K976" s="21"/>
      <c r="L976" s="20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5"/>
      <c r="I977" s="20"/>
      <c r="J977" s="20"/>
      <c r="K977" s="21"/>
      <c r="L977" s="20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5"/>
      <c r="I978" s="20"/>
      <c r="J978" s="20"/>
      <c r="K978" s="21"/>
      <c r="L978" s="20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5"/>
      <c r="I979" s="20"/>
      <c r="J979" s="20"/>
      <c r="K979" s="21"/>
      <c r="L979" s="20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5"/>
      <c r="I980" s="20"/>
      <c r="J980" s="20"/>
      <c r="K980" s="21"/>
      <c r="L980" s="20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5"/>
      <c r="I981" s="20"/>
      <c r="J981" s="20"/>
      <c r="K981" s="21"/>
      <c r="L981" s="20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5"/>
      <c r="I982" s="20"/>
      <c r="J982" s="20"/>
      <c r="K982" s="21"/>
      <c r="L982" s="20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5"/>
      <c r="I983" s="20"/>
      <c r="J983" s="20"/>
      <c r="K983" s="21"/>
      <c r="L983" s="20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5"/>
      <c r="I984" s="20"/>
      <c r="J984" s="20"/>
      <c r="K984" s="21"/>
      <c r="L984" s="20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5"/>
      <c r="I985" s="20"/>
      <c r="J985" s="20"/>
      <c r="K985" s="21"/>
      <c r="L985" s="20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5"/>
      <c r="B986" s="5"/>
      <c r="C986" s="5"/>
      <c r="D986" s="5"/>
      <c r="E986" s="5"/>
      <c r="F986" s="5"/>
      <c r="G986" s="5"/>
      <c r="H986" s="5"/>
      <c r="I986" s="20"/>
      <c r="J986" s="20"/>
      <c r="K986" s="21"/>
      <c r="L986" s="20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5"/>
      <c r="B987" s="5"/>
      <c r="C987" s="5"/>
      <c r="D987" s="5"/>
      <c r="E987" s="5"/>
      <c r="F987" s="5"/>
      <c r="G987" s="5"/>
      <c r="H987" s="5"/>
      <c r="I987" s="20"/>
      <c r="J987" s="20"/>
      <c r="K987" s="21"/>
      <c r="L987" s="20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5"/>
      <c r="B988" s="5"/>
      <c r="C988" s="5"/>
      <c r="D988" s="5"/>
      <c r="E988" s="5"/>
      <c r="F988" s="5"/>
      <c r="G988" s="5"/>
      <c r="H988" s="5"/>
      <c r="I988" s="20"/>
      <c r="J988" s="20"/>
      <c r="K988" s="21"/>
      <c r="L988" s="20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5"/>
      <c r="B989" s="5"/>
      <c r="C989" s="5"/>
      <c r="D989" s="5"/>
      <c r="E989" s="5"/>
      <c r="F989" s="5"/>
      <c r="G989" s="5"/>
      <c r="H989" s="5"/>
      <c r="I989" s="20"/>
      <c r="J989" s="20"/>
      <c r="K989" s="21"/>
      <c r="L989" s="20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5"/>
      <c r="B990" s="5"/>
      <c r="C990" s="5"/>
      <c r="D990" s="5"/>
      <c r="E990" s="5"/>
      <c r="F990" s="5"/>
      <c r="G990" s="5"/>
      <c r="H990" s="5"/>
      <c r="I990" s="20"/>
      <c r="J990" s="20"/>
      <c r="K990" s="21"/>
      <c r="L990" s="20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5"/>
      <c r="B991" s="5"/>
      <c r="C991" s="5"/>
      <c r="D991" s="5"/>
      <c r="E991" s="5"/>
      <c r="F991" s="5"/>
      <c r="G991" s="5"/>
      <c r="H991" s="5"/>
      <c r="I991" s="20"/>
      <c r="J991" s="20"/>
      <c r="K991" s="21"/>
      <c r="L991" s="20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5"/>
      <c r="B992" s="5"/>
      <c r="C992" s="5"/>
      <c r="D992" s="5"/>
      <c r="E992" s="5"/>
      <c r="F992" s="5"/>
      <c r="G992" s="5"/>
      <c r="H992" s="5"/>
      <c r="I992" s="20"/>
      <c r="J992" s="20"/>
      <c r="K992" s="21"/>
      <c r="L992" s="20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5"/>
      <c r="B993" s="5"/>
      <c r="C993" s="5"/>
      <c r="D993" s="5"/>
      <c r="E993" s="5"/>
      <c r="F993" s="5"/>
      <c r="G993" s="5"/>
      <c r="H993" s="5"/>
      <c r="I993" s="20"/>
      <c r="J993" s="20"/>
      <c r="K993" s="21"/>
      <c r="L993" s="20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5"/>
      <c r="B994" s="5"/>
      <c r="C994" s="5"/>
      <c r="D994" s="5"/>
      <c r="E994" s="5"/>
      <c r="F994" s="5"/>
      <c r="G994" s="5"/>
      <c r="H994" s="5"/>
      <c r="I994" s="20"/>
      <c r="J994" s="20"/>
      <c r="K994" s="21"/>
      <c r="L994" s="20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5"/>
      <c r="B995" s="5"/>
      <c r="C995" s="5"/>
      <c r="D995" s="5"/>
      <c r="E995" s="5"/>
      <c r="F995" s="5"/>
      <c r="G995" s="5"/>
      <c r="H995" s="5"/>
      <c r="I995" s="20"/>
      <c r="J995" s="20"/>
      <c r="K995" s="21"/>
      <c r="L995" s="20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5"/>
      <c r="B996" s="5"/>
      <c r="C996" s="5"/>
      <c r="D996" s="5"/>
      <c r="E996" s="5"/>
      <c r="F996" s="5"/>
      <c r="G996" s="5"/>
      <c r="H996" s="5"/>
      <c r="I996" s="20"/>
      <c r="J996" s="20"/>
      <c r="K996" s="21"/>
      <c r="L996" s="20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5"/>
      <c r="B997" s="5"/>
      <c r="C997" s="5"/>
      <c r="D997" s="5"/>
      <c r="E997" s="5"/>
      <c r="F997" s="5"/>
      <c r="G997" s="5"/>
      <c r="H997" s="5"/>
      <c r="I997" s="20"/>
      <c r="J997" s="20"/>
      <c r="K997" s="21"/>
      <c r="L997" s="20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5"/>
      <c r="B998" s="5"/>
      <c r="C998" s="5"/>
      <c r="D998" s="5"/>
      <c r="E998" s="5"/>
      <c r="F998" s="5"/>
      <c r="G998" s="5"/>
      <c r="H998" s="5"/>
      <c r="I998" s="20"/>
      <c r="J998" s="20"/>
      <c r="K998" s="21"/>
      <c r="L998" s="20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5"/>
      <c r="B999" s="5"/>
      <c r="C999" s="5"/>
      <c r="D999" s="5"/>
      <c r="E999" s="5"/>
      <c r="F999" s="5"/>
      <c r="G999" s="5"/>
      <c r="H999" s="5"/>
      <c r="I999" s="20"/>
      <c r="J999" s="20"/>
      <c r="K999" s="21"/>
      <c r="L999" s="20"/>
      <c r="M999" s="5"/>
      <c r="N999" s="5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20"/>
      <c r="J1000" s="20"/>
      <c r="K1000" s="21"/>
      <c r="L1000" s="20"/>
      <c r="M1000" s="5"/>
      <c r="N1000" s="5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20"/>
      <c r="J1001" s="20"/>
      <c r="K1001" s="21"/>
      <c r="L1001" s="20"/>
      <c r="M1001" s="5"/>
      <c r="N1001" s="5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20"/>
      <c r="J1002" s="20"/>
      <c r="K1002" s="21"/>
      <c r="L1002" s="20"/>
      <c r="M1002" s="5"/>
      <c r="N1002" s="5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20"/>
      <c r="J1003" s="20"/>
      <c r="K1003" s="21"/>
      <c r="L1003" s="20"/>
      <c r="M1003" s="5"/>
      <c r="N1003" s="5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" customHeight="1" x14ac:dyDescent="0.3">
      <c r="B1004" s="5"/>
      <c r="C1004" s="5"/>
      <c r="D1004" s="5"/>
      <c r="E1004" s="5"/>
      <c r="F1004" s="5"/>
      <c r="G1004" s="5"/>
      <c r="H1004" s="5"/>
      <c r="I1004" s="20"/>
      <c r="J1004" s="20"/>
      <c r="K1004" s="21"/>
      <c r="L1004" s="20"/>
      <c r="M1004" s="5"/>
      <c r="N1004" s="5"/>
      <c r="O1004" s="1"/>
    </row>
  </sheetData>
  <mergeCells count="1">
    <mergeCell ref="B3:O3"/>
  </mergeCells>
  <conditionalFormatting sqref="K7:K10">
    <cfRule type="colorScale" priority="2">
      <colorScale>
        <cfvo type="min"/>
        <cfvo type="max"/>
        <color rgb="FFFFFFFF"/>
        <color rgb="FF57BB8A"/>
      </colorScale>
    </cfRule>
  </conditionalFormatting>
  <conditionalFormatting sqref="L7:L15">
    <cfRule type="colorScale" priority="3">
      <colorScale>
        <cfvo type="min"/>
        <cfvo type="max"/>
        <color rgb="FF57BB8A"/>
        <color rgb="FFFFFFFF"/>
      </colorScale>
    </cfRule>
  </conditionalFormatting>
  <conditionalFormatting sqref="L10">
    <cfRule type="colorScale" priority="4">
      <colorScale>
        <cfvo type="min"/>
        <cfvo type="max"/>
        <color rgb="FF57BB8A"/>
        <color rgb="FFFFFFFF"/>
      </colorScale>
    </cfRule>
  </conditionalFormatting>
  <conditionalFormatting sqref="L11">
    <cfRule type="colorScale" priority="1">
      <colorScale>
        <cfvo type="min"/>
        <cfvo type="max"/>
        <color rgb="FF57BB8A"/>
        <color rgb="FFFFFFFF"/>
      </colorScale>
    </cfRule>
  </conditionalFormatting>
  <conditionalFormatting sqref="L13">
    <cfRule type="colorScale" priority="5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L7:L14" xr:uid="{00000000-0002-0000-0000-000000000000}">
      <formula1>$L$33:$L$36</formula1>
    </dataValidation>
    <dataValidation type="list" allowBlank="1" showErrorMessage="1" sqref="K7:K14" xr:uid="{00000000-0002-0000-0000-000001000000}">
      <formula1>$K$33:$K$35</formula1>
    </dataValidation>
    <dataValidation type="custom" allowBlank="1" showDropDown="1" sqref="J6:J14" xr:uid="{00000000-0002-0000-0000-000002000000}">
      <formula1>OR(NOT(ISERROR(DATEVALUE(J6))), AND(ISNUMBER(J6), LEFT(CELL("format", J6))="D"))</formula1>
    </dataValidation>
    <dataValidation type="list" allowBlank="1" showErrorMessage="1" sqref="K16:L23" xr:uid="{00000000-0002-0000-0000-000003000000}">
      <formula1>#REF!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view="pageBreakPreview" topLeftCell="A6" zoomScale="130" zoomScaleNormal="100" zoomScaleSheetLayoutView="130" workbookViewId="0">
      <selection activeCell="M15" sqref="M15:O17"/>
    </sheetView>
  </sheetViews>
  <sheetFormatPr baseColWidth="10" defaultColWidth="12.75" defaultRowHeight="15" customHeight="1" x14ac:dyDescent="0.2"/>
  <cols>
    <col min="1" max="1" width="9.375" customWidth="1"/>
    <col min="2" max="2" width="2.75" customWidth="1"/>
    <col min="3" max="15" width="10.75" customWidth="1"/>
    <col min="16" max="16" width="2.7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23"/>
      <c r="D4" s="23"/>
      <c r="E4" s="23"/>
      <c r="F4" s="24"/>
    </row>
    <row r="5" spans="1:26" hidden="1" x14ac:dyDescent="0.25">
      <c r="C5" s="23"/>
      <c r="D5" s="23"/>
      <c r="E5" s="23"/>
      <c r="F5" s="24"/>
    </row>
    <row r="6" spans="1:26" ht="39.75" customHeight="1" x14ac:dyDescent="0.2">
      <c r="B6" s="96" t="s">
        <v>28</v>
      </c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4"/>
    </row>
    <row r="7" spans="1:26" ht="9.75" customHeight="1" x14ac:dyDescent="0.2">
      <c r="A7" s="25"/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9.75" customHeight="1" x14ac:dyDescent="0.25">
      <c r="B8" s="27"/>
      <c r="C8" s="28"/>
      <c r="D8" s="28"/>
      <c r="E8" s="28"/>
      <c r="F8" s="29"/>
      <c r="G8" s="30"/>
      <c r="H8" s="30"/>
      <c r="I8" s="30"/>
      <c r="J8" s="30"/>
      <c r="K8" s="30"/>
      <c r="L8" s="30"/>
      <c r="M8" s="30"/>
      <c r="N8" s="30"/>
      <c r="O8" s="30"/>
      <c r="P8" s="31"/>
      <c r="Q8" s="25"/>
    </row>
    <row r="9" spans="1:26" ht="30" customHeight="1" x14ac:dyDescent="0.2">
      <c r="B9" s="32"/>
      <c r="C9" s="33" t="s">
        <v>1</v>
      </c>
      <c r="D9" s="34"/>
      <c r="E9" s="93" t="s">
        <v>29</v>
      </c>
      <c r="F9" s="94"/>
      <c r="G9" s="34"/>
      <c r="H9" s="93" t="s">
        <v>11</v>
      </c>
      <c r="I9" s="94"/>
      <c r="J9" s="35"/>
      <c r="K9" s="35"/>
      <c r="L9" s="35"/>
      <c r="M9" s="35"/>
      <c r="N9" s="35"/>
      <c r="O9" s="35"/>
      <c r="P9" s="36"/>
      <c r="Q9" s="25"/>
    </row>
    <row r="10" spans="1:26" ht="30" customHeight="1" x14ac:dyDescent="0.2">
      <c r="B10" s="32"/>
      <c r="C10" s="37" t="s">
        <v>22</v>
      </c>
      <c r="D10" s="38"/>
      <c r="E10" s="95" t="str">
        <f>VLOOKUP(C10,'Formato descripción HU'!B7:O23,5,0)</f>
        <v>Administrador y Cliente</v>
      </c>
      <c r="F10" s="94"/>
      <c r="G10" s="39"/>
      <c r="H10" s="95" t="str">
        <f>VLOOKUP(C10,'Formato descripción HU'!B7:O23,11,0)</f>
        <v>No iniciado</v>
      </c>
      <c r="I10" s="94"/>
      <c r="J10" s="39"/>
      <c r="K10" s="35"/>
      <c r="L10" s="35"/>
      <c r="M10" s="35"/>
      <c r="N10" s="35"/>
      <c r="O10" s="35"/>
      <c r="P10" s="36"/>
      <c r="Q10" s="25"/>
    </row>
    <row r="11" spans="1:26" ht="9.75" customHeight="1" x14ac:dyDescent="0.2">
      <c r="A11" s="25"/>
      <c r="B11" s="32"/>
      <c r="C11" s="40"/>
      <c r="D11" s="38"/>
      <c r="E11" s="41"/>
      <c r="F11" s="41"/>
      <c r="G11" s="39"/>
      <c r="H11" s="41"/>
      <c r="I11" s="41"/>
      <c r="J11" s="39"/>
      <c r="K11" s="41"/>
      <c r="L11" s="41"/>
      <c r="M11" s="35"/>
      <c r="N11" s="41"/>
      <c r="O11" s="41"/>
      <c r="P11" s="36"/>
      <c r="Q11" s="25"/>
      <c r="R11" s="25"/>
      <c r="T11" s="25"/>
      <c r="U11" s="25"/>
      <c r="V11" s="25"/>
      <c r="W11" s="25"/>
      <c r="X11" s="25"/>
      <c r="Y11" s="25"/>
      <c r="Z11" s="25"/>
    </row>
    <row r="12" spans="1:26" ht="30" customHeight="1" x14ac:dyDescent="0.2">
      <c r="A12" s="25"/>
      <c r="B12" s="32"/>
      <c r="C12" s="33" t="s">
        <v>30</v>
      </c>
      <c r="D12" s="38"/>
      <c r="E12" s="93" t="s">
        <v>10</v>
      </c>
      <c r="F12" s="94"/>
      <c r="G12" s="39"/>
      <c r="H12" s="93" t="s">
        <v>31</v>
      </c>
      <c r="I12" s="94"/>
      <c r="J12" s="39"/>
      <c r="K12" s="41"/>
      <c r="L12" s="41"/>
      <c r="M12" s="35"/>
      <c r="N12" s="41"/>
      <c r="O12" s="41"/>
      <c r="P12" s="36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30" customHeight="1" x14ac:dyDescent="0.2">
      <c r="A13" s="25"/>
      <c r="B13" s="32"/>
      <c r="C13" s="37">
        <f>VLOOKUP('Historia de Usuario'!C10,'Formato descripción HU'!B7:O23,8,0)</f>
        <v>4</v>
      </c>
      <c r="D13" s="38"/>
      <c r="E13" s="95" t="str">
        <f>VLOOKUP(C10,'Formato descripción HU'!B7:O23,10,0)</f>
        <v>Alta</v>
      </c>
      <c r="F13" s="94"/>
      <c r="G13" s="39"/>
      <c r="H13" s="95" t="str">
        <f>VLOOKUP(C10,'Formato descripción HU'!B7:O23,7,0)</f>
        <v>Vicente Sanchez</v>
      </c>
      <c r="I13" s="94"/>
      <c r="J13" s="39"/>
      <c r="K13" s="41"/>
      <c r="L13" s="41"/>
      <c r="M13" s="35"/>
      <c r="N13" s="41"/>
      <c r="O13" s="41"/>
      <c r="P13" s="36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9.75" customHeight="1" x14ac:dyDescent="0.2">
      <c r="A14" s="25"/>
      <c r="B14" s="32"/>
      <c r="C14" s="35"/>
      <c r="D14" s="38"/>
      <c r="E14" s="35"/>
      <c r="F14" s="35"/>
      <c r="G14" s="39"/>
      <c r="H14" s="39"/>
      <c r="I14" s="35"/>
      <c r="J14" s="35"/>
      <c r="K14" s="35"/>
      <c r="L14" s="35"/>
      <c r="M14" s="35"/>
      <c r="N14" s="35"/>
      <c r="O14" s="35"/>
      <c r="P14" s="36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19.5" customHeight="1" x14ac:dyDescent="0.2">
      <c r="A15" s="25"/>
      <c r="B15" s="32"/>
      <c r="C15" s="83" t="s">
        <v>32</v>
      </c>
      <c r="D15" s="81" t="str">
        <f>VLOOKUP(C10,'Formato descripción HU'!B7:O23,3,0)</f>
        <v>Solicitar los datos personales del cliente  y enviar su solicitud al correo del administrador</v>
      </c>
      <c r="E15" s="73"/>
      <c r="F15" s="42"/>
      <c r="G15" s="83" t="s">
        <v>33</v>
      </c>
      <c r="H15" s="81" t="str">
        <f>VLOOKUP(C10,'Formato descripción HU'!B7:O23,4,0)</f>
        <v>Para que el cliente pueda apartar productos o pedir una cotizacion formal de forma remota.</v>
      </c>
      <c r="I15" s="79"/>
      <c r="J15" s="73"/>
      <c r="K15" s="42"/>
      <c r="L15" s="83" t="s">
        <v>34</v>
      </c>
      <c r="M15" s="109" t="str">
        <f>VLOOKUP(C10,'Formato descripción HU'!B7:O23,6,0)</f>
        <v>Crear un formulario sencillo donde el cliente deje su nombre, telefono y el pedido que desea realizar.</v>
      </c>
      <c r="N15" s="110"/>
      <c r="O15" s="111"/>
      <c r="P15" s="36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9.5" customHeight="1" x14ac:dyDescent="0.2">
      <c r="A16" s="25"/>
      <c r="B16" s="32"/>
      <c r="C16" s="84"/>
      <c r="D16" s="74"/>
      <c r="E16" s="75"/>
      <c r="F16" s="42"/>
      <c r="G16" s="84"/>
      <c r="H16" s="74"/>
      <c r="I16" s="62"/>
      <c r="J16" s="75"/>
      <c r="K16" s="42"/>
      <c r="L16" s="84"/>
      <c r="M16" s="112"/>
      <c r="N16" s="113"/>
      <c r="O16" s="114"/>
      <c r="P16" s="36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9.5" customHeight="1" x14ac:dyDescent="0.2">
      <c r="A17" s="25"/>
      <c r="B17" s="32"/>
      <c r="C17" s="85"/>
      <c r="D17" s="76"/>
      <c r="E17" s="77"/>
      <c r="F17" s="42"/>
      <c r="G17" s="85"/>
      <c r="H17" s="76"/>
      <c r="I17" s="80"/>
      <c r="J17" s="77"/>
      <c r="K17" s="42"/>
      <c r="L17" s="85"/>
      <c r="M17" s="115"/>
      <c r="N17" s="116"/>
      <c r="O17" s="117"/>
      <c r="P17" s="36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9.75" customHeight="1" x14ac:dyDescent="0.2">
      <c r="A18" s="25"/>
      <c r="B18" s="32"/>
      <c r="C18" s="35"/>
      <c r="D18" s="35"/>
      <c r="E18" s="35"/>
      <c r="F18" s="35"/>
      <c r="G18" s="39"/>
      <c r="H18" s="39"/>
      <c r="I18" s="39"/>
      <c r="J18" s="35"/>
      <c r="K18" s="35"/>
      <c r="L18" s="35"/>
      <c r="M18" s="35"/>
      <c r="N18" s="35"/>
      <c r="O18" s="35"/>
      <c r="P18" s="36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9.5" customHeight="1" x14ac:dyDescent="0.2">
      <c r="B19" s="32"/>
      <c r="C19" s="92" t="s">
        <v>35</v>
      </c>
      <c r="D19" s="73"/>
      <c r="E19" s="86" t="str">
        <f>VLOOKUP(C10,'Formato descripción HU'!B7:O23,14,0)</f>
        <v>Formulario de pedidos y contacto.</v>
      </c>
      <c r="F19" s="87"/>
      <c r="G19" s="87"/>
      <c r="H19" s="87"/>
      <c r="I19" s="87"/>
      <c r="J19" s="87"/>
      <c r="K19" s="87"/>
      <c r="L19" s="87"/>
      <c r="M19" s="87"/>
      <c r="N19" s="87"/>
      <c r="O19" s="88"/>
      <c r="P19" s="36"/>
      <c r="Q19" s="25"/>
    </row>
    <row r="20" spans="1:26" ht="19.5" customHeight="1" x14ac:dyDescent="0.2">
      <c r="B20" s="32"/>
      <c r="C20" s="76"/>
      <c r="D20" s="77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91"/>
      <c r="P20" s="36"/>
      <c r="Q20" s="25"/>
    </row>
    <row r="21" spans="1:26" ht="9.75" customHeight="1" x14ac:dyDescent="0.2">
      <c r="B21" s="32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6"/>
      <c r="Q21" s="25"/>
    </row>
    <row r="22" spans="1:26" ht="19.5" customHeight="1" x14ac:dyDescent="0.2">
      <c r="A22" s="25"/>
      <c r="B22" s="32"/>
      <c r="C22" s="72" t="s">
        <v>36</v>
      </c>
      <c r="D22" s="73"/>
      <c r="E22" s="78" t="str">
        <f>VLOOKUP(C10,'Formato descripción HU'!B7:O23,12,0)</f>
        <v>Llenar el formulario como cliente y verificar que el dueño reciba un correo con los datos.</v>
      </c>
      <c r="F22" s="79"/>
      <c r="G22" s="79"/>
      <c r="H22" s="73"/>
      <c r="I22" s="35"/>
      <c r="J22" s="72" t="s">
        <v>13</v>
      </c>
      <c r="K22" s="73"/>
      <c r="L22" s="81" t="str">
        <f>VLOOKUP(C10,'Formato descripción HU'!B7:O23,13,0)</f>
        <v>Actua como una forma de comunicacion directa entre el cliente y el negocio registrando los datos del cliente y su pedido.</v>
      </c>
      <c r="M22" s="79"/>
      <c r="N22" s="79"/>
      <c r="O22" s="73"/>
      <c r="P22" s="36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19.5" customHeight="1" x14ac:dyDescent="0.2">
      <c r="A23" s="25"/>
      <c r="B23" s="32"/>
      <c r="C23" s="74"/>
      <c r="D23" s="75"/>
      <c r="E23" s="74"/>
      <c r="F23" s="62"/>
      <c r="G23" s="62"/>
      <c r="H23" s="75"/>
      <c r="I23" s="35"/>
      <c r="J23" s="74"/>
      <c r="K23" s="75"/>
      <c r="L23" s="74"/>
      <c r="M23" s="62"/>
      <c r="N23" s="62"/>
      <c r="O23" s="75"/>
      <c r="P23" s="36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9.5" customHeight="1" x14ac:dyDescent="0.2">
      <c r="A24" s="25"/>
      <c r="B24" s="32"/>
      <c r="C24" s="76"/>
      <c r="D24" s="77"/>
      <c r="E24" s="76"/>
      <c r="F24" s="80"/>
      <c r="G24" s="80"/>
      <c r="H24" s="77"/>
      <c r="I24" s="35"/>
      <c r="J24" s="76"/>
      <c r="K24" s="77"/>
      <c r="L24" s="76"/>
      <c r="M24" s="80"/>
      <c r="N24" s="80"/>
      <c r="O24" s="77"/>
      <c r="P24" s="36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9.75" customHeight="1" x14ac:dyDescent="0.2">
      <c r="A25" s="25"/>
      <c r="B25" s="43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9.5" customHeight="1" x14ac:dyDescent="0.25">
      <c r="C26" s="23"/>
      <c r="D26" s="23"/>
      <c r="E26" s="23"/>
      <c r="F26" s="24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21" x14ac:dyDescent="0.2">
      <c r="A27" s="25"/>
      <c r="B27" s="8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9.5" customHeight="1" x14ac:dyDescent="0.2">
      <c r="A28" s="25"/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9.5" customHeight="1" x14ac:dyDescent="0.25">
      <c r="B29" s="25"/>
      <c r="C29" s="23"/>
      <c r="D29" s="23"/>
      <c r="E29" s="23"/>
      <c r="F29" s="24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9.5" customHeight="1" x14ac:dyDescent="0.2">
      <c r="B30" s="25"/>
      <c r="C30" s="46"/>
      <c r="D30" s="47"/>
      <c r="E30" s="65"/>
      <c r="F30" s="62"/>
      <c r="G30" s="47"/>
      <c r="H30" s="65"/>
      <c r="I30" s="62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9.5" customHeight="1" x14ac:dyDescent="0.2">
      <c r="A31" s="25"/>
      <c r="B31" s="25"/>
      <c r="C31" s="46"/>
      <c r="D31" s="48"/>
      <c r="E31" s="65"/>
      <c r="F31" s="62"/>
      <c r="G31" s="49"/>
      <c r="H31" s="65"/>
      <c r="I31" s="62"/>
      <c r="J31" s="49"/>
      <c r="K31" s="50"/>
      <c r="L31" s="50"/>
      <c r="M31" s="25"/>
      <c r="N31" s="50"/>
      <c r="O31" s="50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9.5" customHeight="1" x14ac:dyDescent="0.2">
      <c r="A32" s="25"/>
      <c r="B32" s="25"/>
      <c r="C32" s="51"/>
      <c r="D32" s="48"/>
      <c r="E32" s="63"/>
      <c r="F32" s="62"/>
      <c r="G32" s="49"/>
      <c r="H32" s="63"/>
      <c r="I32" s="62"/>
      <c r="J32" s="49"/>
      <c r="K32" s="50"/>
      <c r="L32" s="50"/>
      <c r="M32" s="25"/>
      <c r="N32" s="50"/>
      <c r="O32" s="50"/>
      <c r="P32" s="25"/>
    </row>
    <row r="33" spans="1:16" ht="19.5" customHeight="1" x14ac:dyDescent="0.2">
      <c r="A33" s="25"/>
      <c r="B33" s="25"/>
      <c r="C33" s="25"/>
      <c r="D33" s="48"/>
      <c r="E33" s="25"/>
      <c r="F33" s="25"/>
      <c r="G33" s="49"/>
      <c r="H33" s="49"/>
      <c r="I33" s="25"/>
      <c r="J33" s="25"/>
      <c r="K33" s="25"/>
      <c r="L33" s="25"/>
      <c r="M33" s="25"/>
      <c r="N33" s="25"/>
      <c r="O33" s="25"/>
      <c r="P33" s="25"/>
    </row>
    <row r="34" spans="1:16" ht="19.5" customHeight="1" x14ac:dyDescent="0.2">
      <c r="A34" s="25"/>
      <c r="B34" s="25"/>
      <c r="C34" s="65"/>
      <c r="D34" s="66"/>
      <c r="E34" s="62"/>
      <c r="F34" s="52"/>
      <c r="G34" s="65"/>
      <c r="H34" s="66"/>
      <c r="I34" s="62"/>
      <c r="J34" s="62"/>
      <c r="K34" s="52"/>
      <c r="L34" s="65"/>
      <c r="M34" s="70"/>
      <c r="N34" s="62"/>
      <c r="O34" s="62"/>
      <c r="P34" s="25"/>
    </row>
    <row r="35" spans="1:16" ht="19.5" customHeight="1" x14ac:dyDescent="0.2">
      <c r="A35" s="25"/>
      <c r="B35" s="25"/>
      <c r="C35" s="62"/>
      <c r="D35" s="62"/>
      <c r="E35" s="62"/>
      <c r="F35" s="52"/>
      <c r="G35" s="62"/>
      <c r="H35" s="62"/>
      <c r="I35" s="62"/>
      <c r="J35" s="62"/>
      <c r="K35" s="52"/>
      <c r="L35" s="62"/>
      <c r="M35" s="62"/>
      <c r="N35" s="62"/>
      <c r="O35" s="62"/>
      <c r="P35" s="25"/>
    </row>
    <row r="36" spans="1:16" ht="19.5" customHeight="1" x14ac:dyDescent="0.2">
      <c r="A36" s="25"/>
      <c r="B36" s="25"/>
      <c r="C36" s="62"/>
      <c r="D36" s="62"/>
      <c r="E36" s="62"/>
      <c r="F36" s="52"/>
      <c r="G36" s="62"/>
      <c r="H36" s="62"/>
      <c r="I36" s="62"/>
      <c r="J36" s="62"/>
      <c r="K36" s="52"/>
      <c r="L36" s="62"/>
      <c r="M36" s="62"/>
      <c r="N36" s="62"/>
      <c r="O36" s="62"/>
      <c r="P36" s="25"/>
    </row>
    <row r="37" spans="1:16" ht="19.5" customHeight="1" x14ac:dyDescent="0.2">
      <c r="A37" s="25"/>
      <c r="B37" s="25"/>
      <c r="C37" s="25"/>
      <c r="D37" s="25"/>
      <c r="E37" s="25"/>
      <c r="F37" s="25"/>
      <c r="G37" s="49"/>
      <c r="H37" s="49"/>
      <c r="I37" s="49"/>
      <c r="J37" s="25"/>
      <c r="K37" s="25"/>
      <c r="L37" s="25"/>
      <c r="M37" s="25"/>
      <c r="N37" s="25"/>
      <c r="O37" s="25"/>
      <c r="P37" s="25"/>
    </row>
    <row r="38" spans="1:16" ht="19.5" customHeight="1" x14ac:dyDescent="0.2">
      <c r="B38" s="25"/>
      <c r="C38" s="69"/>
      <c r="D38" s="62"/>
      <c r="E38" s="71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25"/>
    </row>
    <row r="39" spans="1:16" ht="19.5" customHeight="1" x14ac:dyDescent="0.2">
      <c r="B39" s="25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25"/>
    </row>
    <row r="40" spans="1:16" ht="19.5" customHeight="1" x14ac:dyDescent="0.2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</row>
    <row r="41" spans="1:16" ht="19.5" customHeight="1" x14ac:dyDescent="0.2">
      <c r="A41" s="25"/>
      <c r="B41" s="25"/>
      <c r="C41" s="65"/>
      <c r="D41" s="62"/>
      <c r="E41" s="68"/>
      <c r="F41" s="62"/>
      <c r="G41" s="62"/>
      <c r="H41" s="62"/>
      <c r="I41" s="25"/>
      <c r="J41" s="65"/>
      <c r="K41" s="62"/>
      <c r="L41" s="66"/>
      <c r="M41" s="62"/>
      <c r="N41" s="62"/>
      <c r="O41" s="62"/>
      <c r="P41" s="25"/>
    </row>
    <row r="42" spans="1:16" ht="19.5" customHeight="1" x14ac:dyDescent="0.2">
      <c r="A42" s="25"/>
      <c r="B42" s="25"/>
      <c r="C42" s="62"/>
      <c r="D42" s="62"/>
      <c r="E42" s="62"/>
      <c r="F42" s="62"/>
      <c r="G42" s="62"/>
      <c r="H42" s="62"/>
      <c r="I42" s="25"/>
      <c r="J42" s="62"/>
      <c r="K42" s="62"/>
      <c r="L42" s="62"/>
      <c r="M42" s="62"/>
      <c r="N42" s="62"/>
      <c r="O42" s="62"/>
      <c r="P42" s="25"/>
    </row>
    <row r="43" spans="1:16" ht="19.5" customHeight="1" x14ac:dyDescent="0.2">
      <c r="A43" s="25"/>
      <c r="B43" s="25"/>
      <c r="C43" s="62"/>
      <c r="D43" s="62"/>
      <c r="E43" s="62"/>
      <c r="F43" s="62"/>
      <c r="G43" s="62"/>
      <c r="H43" s="62"/>
      <c r="I43" s="25"/>
      <c r="J43" s="62"/>
      <c r="K43" s="62"/>
      <c r="L43" s="62"/>
      <c r="M43" s="62"/>
      <c r="N43" s="62"/>
      <c r="O43" s="62"/>
      <c r="P43" s="25"/>
    </row>
    <row r="44" spans="1:16" ht="19.5" customHeight="1" x14ac:dyDescent="0.2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</row>
    <row r="45" spans="1:16" ht="19.5" customHeight="1" x14ac:dyDescent="0.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</row>
    <row r="46" spans="1:16" ht="19.5" customHeight="1" x14ac:dyDescent="0.35">
      <c r="A46" s="25"/>
      <c r="B46" s="67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</row>
    <row r="47" spans="1:16" ht="19.5" customHeight="1" x14ac:dyDescent="0.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</row>
    <row r="48" spans="1:16" ht="19.5" customHeight="1" x14ac:dyDescent="0.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</row>
    <row r="49" spans="1:16" ht="19.5" customHeight="1" x14ac:dyDescent="0.25">
      <c r="A49" s="25"/>
      <c r="B49" s="25"/>
      <c r="C49" s="53"/>
      <c r="D49" s="25"/>
      <c r="E49" s="64"/>
      <c r="F49" s="62"/>
      <c r="G49" s="25"/>
      <c r="H49" s="64"/>
      <c r="I49" s="62"/>
      <c r="J49" s="25"/>
      <c r="K49" s="25"/>
      <c r="L49" s="25"/>
      <c r="M49" s="25"/>
      <c r="N49" s="25"/>
      <c r="O49" s="25"/>
      <c r="P49" s="25"/>
    </row>
    <row r="50" spans="1:16" ht="19.5" customHeight="1" x14ac:dyDescent="0.25">
      <c r="A50" s="25"/>
      <c r="B50" s="25"/>
      <c r="C50" s="54"/>
      <c r="D50" s="25"/>
      <c r="E50" s="61"/>
      <c r="F50" s="62"/>
      <c r="G50" s="25"/>
      <c r="H50" s="63"/>
      <c r="I50" s="62"/>
      <c r="J50" s="25"/>
      <c r="K50" s="25"/>
      <c r="L50" s="25"/>
      <c r="M50" s="25"/>
      <c r="N50" s="25"/>
      <c r="O50" s="25"/>
      <c r="P50" s="25"/>
    </row>
    <row r="51" spans="1:16" ht="19.5" customHeight="1" x14ac:dyDescent="0.2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9.5" customHeight="1" x14ac:dyDescent="0.25">
      <c r="A52" s="25"/>
      <c r="B52" s="25"/>
      <c r="C52" s="53"/>
      <c r="D52" s="25"/>
      <c r="E52" s="64"/>
      <c r="F52" s="62"/>
      <c r="G52" s="25"/>
      <c r="H52" s="64"/>
      <c r="I52" s="62"/>
      <c r="J52" s="25"/>
      <c r="K52" s="25"/>
      <c r="L52" s="25"/>
      <c r="M52" s="25"/>
      <c r="N52" s="25"/>
      <c r="O52" s="25"/>
      <c r="P52" s="25"/>
    </row>
    <row r="53" spans="1:16" ht="15.75" customHeight="1" x14ac:dyDescent="0.25">
      <c r="A53" s="25"/>
      <c r="B53" s="25"/>
      <c r="C53" s="54"/>
      <c r="D53" s="25"/>
      <c r="E53" s="61"/>
      <c r="F53" s="62"/>
      <c r="G53" s="25"/>
      <c r="H53" s="61"/>
      <c r="I53" s="62"/>
      <c r="J53" s="25"/>
      <c r="K53" s="25"/>
      <c r="L53" s="25"/>
      <c r="M53" s="25"/>
      <c r="N53" s="25"/>
      <c r="O53" s="25"/>
      <c r="P53" s="25"/>
    </row>
    <row r="54" spans="1:16" ht="15.75" customHeight="1" x14ac:dyDescent="0.2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</row>
    <row r="55" spans="1:16" ht="15.75" customHeight="1" x14ac:dyDescent="0.2">
      <c r="A55" s="25"/>
      <c r="B55" s="25"/>
      <c r="C55" s="64"/>
      <c r="D55" s="66"/>
      <c r="E55" s="62"/>
      <c r="F55" s="25"/>
      <c r="G55" s="64"/>
      <c r="H55" s="103"/>
      <c r="I55" s="62"/>
      <c r="J55" s="62"/>
      <c r="K55" s="25"/>
      <c r="L55" s="64"/>
      <c r="M55" s="104"/>
      <c r="N55" s="62"/>
      <c r="O55" s="62"/>
      <c r="P55" s="25"/>
    </row>
    <row r="56" spans="1:16" ht="15.75" customHeight="1" x14ac:dyDescent="0.2">
      <c r="A56" s="25"/>
      <c r="B56" s="25"/>
      <c r="C56" s="62"/>
      <c r="D56" s="62"/>
      <c r="E56" s="62"/>
      <c r="F56" s="25"/>
      <c r="G56" s="62"/>
      <c r="H56" s="62"/>
      <c r="I56" s="62"/>
      <c r="J56" s="62"/>
      <c r="K56" s="25"/>
      <c r="L56" s="62"/>
      <c r="M56" s="62"/>
      <c r="N56" s="62"/>
      <c r="O56" s="62"/>
      <c r="P56" s="25"/>
    </row>
    <row r="57" spans="1:16" ht="15.75" customHeight="1" x14ac:dyDescent="0.2">
      <c r="A57" s="25"/>
      <c r="B57" s="25"/>
      <c r="C57" s="62"/>
      <c r="D57" s="62"/>
      <c r="E57" s="62"/>
      <c r="F57" s="25"/>
      <c r="G57" s="62"/>
      <c r="H57" s="62"/>
      <c r="I57" s="62"/>
      <c r="J57" s="62"/>
      <c r="K57" s="25"/>
      <c r="L57" s="62"/>
      <c r="M57" s="62"/>
      <c r="N57" s="62"/>
      <c r="O57" s="62"/>
      <c r="P57" s="25"/>
    </row>
    <row r="58" spans="1:16" ht="15.75" customHeight="1" x14ac:dyDescent="0.2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</row>
    <row r="59" spans="1:16" ht="15.75" customHeight="1" x14ac:dyDescent="0.2">
      <c r="A59" s="25"/>
      <c r="B59" s="25"/>
      <c r="C59" s="101"/>
      <c r="D59" s="62"/>
      <c r="E59" s="10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25"/>
    </row>
    <row r="60" spans="1:16" ht="15.75" customHeight="1" x14ac:dyDescent="0.2">
      <c r="A60" s="25"/>
      <c r="B60" s="25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25"/>
    </row>
    <row r="61" spans="1:16" ht="15.75" customHeight="1" x14ac:dyDescent="0.2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</row>
    <row r="62" spans="1:16" ht="15.75" customHeight="1" x14ac:dyDescent="0.2">
      <c r="A62" s="25"/>
      <c r="B62" s="25"/>
      <c r="C62" s="64"/>
      <c r="D62" s="62"/>
      <c r="E62" s="105"/>
      <c r="F62" s="62"/>
      <c r="G62" s="62"/>
      <c r="H62" s="62"/>
      <c r="I62" s="25"/>
      <c r="J62" s="64"/>
      <c r="K62" s="62"/>
      <c r="L62" s="107"/>
      <c r="M62" s="62"/>
      <c r="N62" s="62"/>
      <c r="O62" s="62"/>
      <c r="P62" s="25"/>
    </row>
    <row r="63" spans="1:16" ht="15.75" customHeight="1" x14ac:dyDescent="0.2">
      <c r="A63" s="25"/>
      <c r="B63" s="25"/>
      <c r="C63" s="62"/>
      <c r="D63" s="62"/>
      <c r="E63" s="62"/>
      <c r="F63" s="62"/>
      <c r="G63" s="62"/>
      <c r="H63" s="62"/>
      <c r="I63" s="25"/>
      <c r="J63" s="62"/>
      <c r="K63" s="62"/>
      <c r="L63" s="62"/>
      <c r="M63" s="62"/>
      <c r="N63" s="62"/>
      <c r="O63" s="62"/>
      <c r="P63" s="25"/>
    </row>
    <row r="64" spans="1:16" ht="15.75" customHeight="1" x14ac:dyDescent="0.2">
      <c r="A64" s="25"/>
      <c r="B64" s="25"/>
      <c r="C64" s="62"/>
      <c r="D64" s="62"/>
      <c r="E64" s="62"/>
      <c r="F64" s="62"/>
      <c r="G64" s="62"/>
      <c r="H64" s="62"/>
      <c r="I64" s="25"/>
      <c r="J64" s="62"/>
      <c r="K64" s="62"/>
      <c r="L64" s="62"/>
      <c r="M64" s="62"/>
      <c r="N64" s="62"/>
      <c r="O64" s="62"/>
      <c r="P64" s="25"/>
    </row>
    <row r="65" spans="1:16" ht="15.75" customHeight="1" x14ac:dyDescent="0.2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.75" customHeight="1" x14ac:dyDescent="0.2"/>
    <row r="67" spans="1:16" ht="9.75" customHeight="1" x14ac:dyDescent="0.35">
      <c r="A67" s="25"/>
      <c r="B67" s="67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1:16" ht="27" customHeight="1" x14ac:dyDescent="0.35">
      <c r="A68" s="25"/>
      <c r="B68" s="67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</row>
    <row r="69" spans="1:16" ht="15.75" customHeight="1" x14ac:dyDescent="0.2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</row>
    <row r="70" spans="1:16" ht="15.75" customHeight="1" x14ac:dyDescent="0.2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</row>
    <row r="71" spans="1:16" ht="15.75" customHeight="1" x14ac:dyDescent="0.25">
      <c r="A71" s="25"/>
      <c r="B71" s="25"/>
      <c r="C71" s="53"/>
      <c r="D71" s="25"/>
      <c r="E71" s="64"/>
      <c r="F71" s="62"/>
      <c r="G71" s="25"/>
      <c r="H71" s="64"/>
      <c r="I71" s="62"/>
      <c r="J71" s="25"/>
      <c r="K71" s="25"/>
      <c r="L71" s="25"/>
      <c r="M71" s="25"/>
      <c r="N71" s="25"/>
      <c r="O71" s="25"/>
      <c r="P71" s="25"/>
    </row>
    <row r="72" spans="1:16" ht="15.75" customHeight="1" x14ac:dyDescent="0.25">
      <c r="A72" s="25"/>
      <c r="B72" s="25"/>
      <c r="C72" s="53"/>
      <c r="D72" s="25"/>
      <c r="E72" s="64"/>
      <c r="F72" s="62"/>
      <c r="G72" s="25"/>
      <c r="H72" s="64"/>
      <c r="I72" s="62"/>
      <c r="J72" s="25"/>
      <c r="K72" s="25"/>
      <c r="L72" s="25"/>
      <c r="M72" s="25"/>
      <c r="N72" s="25"/>
      <c r="O72" s="25"/>
      <c r="P72" s="25"/>
    </row>
    <row r="73" spans="1:16" ht="15.75" customHeight="1" x14ac:dyDescent="0.25">
      <c r="A73" s="25"/>
      <c r="B73" s="25"/>
      <c r="C73" s="54"/>
      <c r="D73" s="25"/>
      <c r="E73" s="61"/>
      <c r="F73" s="62"/>
      <c r="G73" s="25"/>
      <c r="H73" s="61"/>
      <c r="I73" s="62"/>
      <c r="J73" s="25"/>
      <c r="K73" s="25"/>
      <c r="L73" s="25"/>
      <c r="M73" s="25"/>
      <c r="N73" s="25"/>
      <c r="O73" s="25"/>
      <c r="P73" s="25"/>
    </row>
    <row r="74" spans="1:16" ht="15.75" customHeight="1" x14ac:dyDescent="0.2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.75" customHeight="1" x14ac:dyDescent="0.2">
      <c r="A75" s="25"/>
      <c r="B75" s="25"/>
      <c r="C75" s="64"/>
      <c r="D75" s="106"/>
      <c r="E75" s="62"/>
      <c r="F75" s="25"/>
      <c r="G75" s="64"/>
      <c r="H75" s="103"/>
      <c r="I75" s="62"/>
      <c r="J75" s="62"/>
      <c r="K75" s="25"/>
      <c r="L75" s="64"/>
      <c r="M75" s="104"/>
      <c r="N75" s="62"/>
      <c r="O75" s="62"/>
      <c r="P75" s="25"/>
    </row>
    <row r="76" spans="1:16" ht="15.75" customHeight="1" x14ac:dyDescent="0.2">
      <c r="A76" s="25"/>
      <c r="B76" s="25"/>
      <c r="C76" s="62"/>
      <c r="D76" s="62"/>
      <c r="E76" s="62"/>
      <c r="F76" s="25"/>
      <c r="G76" s="62"/>
      <c r="H76" s="62"/>
      <c r="I76" s="62"/>
      <c r="J76" s="62"/>
      <c r="K76" s="25"/>
      <c r="L76" s="62"/>
      <c r="M76" s="62"/>
      <c r="N76" s="62"/>
      <c r="O76" s="62"/>
      <c r="P76" s="25"/>
    </row>
    <row r="77" spans="1:16" ht="15.75" customHeight="1" x14ac:dyDescent="0.2">
      <c r="A77" s="25"/>
      <c r="B77" s="25"/>
      <c r="C77" s="62"/>
      <c r="D77" s="62"/>
      <c r="E77" s="62"/>
      <c r="F77" s="25"/>
      <c r="G77" s="62"/>
      <c r="H77" s="62"/>
      <c r="I77" s="62"/>
      <c r="J77" s="62"/>
      <c r="K77" s="25"/>
      <c r="L77" s="62"/>
      <c r="M77" s="62"/>
      <c r="N77" s="62"/>
      <c r="O77" s="62"/>
      <c r="P77" s="25"/>
    </row>
    <row r="78" spans="1:16" ht="15.75" customHeight="1" x14ac:dyDescent="0.2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</row>
    <row r="79" spans="1:16" ht="15.75" customHeight="1" x14ac:dyDescent="0.2">
      <c r="A79" s="25"/>
      <c r="B79" s="25"/>
      <c r="C79" s="101"/>
      <c r="D79" s="62"/>
      <c r="E79" s="10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25"/>
    </row>
    <row r="80" spans="1:16" ht="15.75" customHeight="1" x14ac:dyDescent="0.2">
      <c r="A80" s="25"/>
      <c r="B80" s="25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25"/>
    </row>
    <row r="81" spans="1:16" ht="15.75" customHeight="1" x14ac:dyDescent="0.2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</row>
    <row r="82" spans="1:16" ht="15.75" customHeight="1" x14ac:dyDescent="0.2">
      <c r="A82" s="25"/>
      <c r="B82" s="25"/>
      <c r="C82" s="64"/>
      <c r="D82" s="62"/>
      <c r="E82" s="105"/>
      <c r="F82" s="62"/>
      <c r="G82" s="62"/>
      <c r="H82" s="62"/>
      <c r="I82" s="25"/>
      <c r="J82" s="64"/>
      <c r="K82" s="62"/>
      <c r="L82" s="99"/>
      <c r="M82" s="62"/>
      <c r="N82" s="62"/>
      <c r="O82" s="62"/>
      <c r="P82" s="25"/>
    </row>
    <row r="83" spans="1:16" ht="15.75" customHeight="1" x14ac:dyDescent="0.2">
      <c r="A83" s="25"/>
      <c r="B83" s="25"/>
      <c r="C83" s="62"/>
      <c r="D83" s="62"/>
      <c r="E83" s="62"/>
      <c r="F83" s="62"/>
      <c r="G83" s="62"/>
      <c r="H83" s="62"/>
      <c r="I83" s="25"/>
      <c r="J83" s="62"/>
      <c r="K83" s="62"/>
      <c r="L83" s="62"/>
      <c r="M83" s="62"/>
      <c r="N83" s="62"/>
      <c r="O83" s="62"/>
      <c r="P83" s="25"/>
    </row>
    <row r="84" spans="1:16" ht="15.75" customHeight="1" x14ac:dyDescent="0.2">
      <c r="A84" s="25"/>
      <c r="B84" s="25"/>
      <c r="C84" s="62"/>
      <c r="D84" s="62"/>
      <c r="E84" s="62"/>
      <c r="F84" s="62"/>
      <c r="G84" s="62"/>
      <c r="H84" s="62"/>
      <c r="I84" s="25"/>
      <c r="J84" s="62"/>
      <c r="K84" s="62"/>
      <c r="L84" s="62"/>
      <c r="M84" s="62"/>
      <c r="N84" s="62"/>
      <c r="O84" s="62"/>
      <c r="P84" s="25"/>
    </row>
    <row r="85" spans="1:16" ht="15.75" customHeight="1" x14ac:dyDescent="0.2"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.75" customHeight="1" x14ac:dyDescent="0.2">
      <c r="A86" s="25"/>
    </row>
    <row r="87" spans="1:16" ht="21" x14ac:dyDescent="0.35">
      <c r="A87" s="25"/>
      <c r="B87" s="67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</row>
    <row r="88" spans="1:16" ht="15.75" customHeight="1" x14ac:dyDescent="0.2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</row>
    <row r="89" spans="1:16" ht="15.75" customHeight="1" x14ac:dyDescent="0.2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</row>
    <row r="90" spans="1:16" ht="15.75" customHeight="1" x14ac:dyDescent="0.25">
      <c r="A90" s="25"/>
      <c r="B90" s="25"/>
      <c r="C90" s="53"/>
      <c r="D90" s="25"/>
      <c r="E90" s="64"/>
      <c r="F90" s="62"/>
      <c r="G90" s="25"/>
      <c r="H90" s="64"/>
      <c r="I90" s="62"/>
      <c r="J90" s="25"/>
      <c r="K90" s="25"/>
      <c r="L90" s="25"/>
      <c r="M90" s="25"/>
      <c r="N90" s="25"/>
      <c r="O90" s="25"/>
      <c r="P90" s="25"/>
    </row>
    <row r="91" spans="1:16" ht="15.75" customHeight="1" x14ac:dyDescent="0.25">
      <c r="A91" s="25"/>
      <c r="B91" s="25"/>
      <c r="C91" s="54"/>
      <c r="D91" s="25"/>
      <c r="E91" s="61"/>
      <c r="F91" s="62"/>
      <c r="G91" s="25"/>
      <c r="H91" s="61"/>
      <c r="I91" s="62"/>
      <c r="J91" s="25"/>
      <c r="K91" s="25"/>
      <c r="L91" s="25"/>
      <c r="M91" s="25"/>
      <c r="N91" s="25"/>
      <c r="O91" s="25"/>
      <c r="P91" s="25"/>
    </row>
    <row r="92" spans="1:16" ht="15.75" customHeight="1" x14ac:dyDescent="0.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</row>
    <row r="93" spans="1:16" ht="15.75" customHeight="1" x14ac:dyDescent="0.2">
      <c r="A93" s="25"/>
      <c r="B93" s="25"/>
      <c r="C93" s="64"/>
      <c r="D93" s="103"/>
      <c r="E93" s="62"/>
      <c r="F93" s="25"/>
      <c r="G93" s="64"/>
      <c r="H93" s="103"/>
      <c r="I93" s="62"/>
      <c r="J93" s="62"/>
      <c r="K93" s="25"/>
      <c r="L93" s="64"/>
      <c r="M93" s="100"/>
      <c r="N93" s="62"/>
      <c r="O93" s="62"/>
      <c r="P93" s="25"/>
    </row>
    <row r="94" spans="1:16" ht="15.75" customHeight="1" x14ac:dyDescent="0.2">
      <c r="A94" s="25"/>
      <c r="B94" s="25"/>
      <c r="C94" s="62"/>
      <c r="D94" s="62"/>
      <c r="E94" s="62"/>
      <c r="F94" s="25"/>
      <c r="G94" s="62"/>
      <c r="H94" s="62"/>
      <c r="I94" s="62"/>
      <c r="J94" s="62"/>
      <c r="K94" s="25"/>
      <c r="L94" s="62"/>
      <c r="M94" s="62"/>
      <c r="N94" s="62"/>
      <c r="O94" s="62"/>
      <c r="P94" s="25"/>
    </row>
    <row r="95" spans="1:16" ht="15.75" customHeight="1" x14ac:dyDescent="0.2">
      <c r="A95" s="25"/>
      <c r="B95" s="25"/>
      <c r="C95" s="62"/>
      <c r="D95" s="62"/>
      <c r="E95" s="62"/>
      <c r="F95" s="25"/>
      <c r="G95" s="62"/>
      <c r="H95" s="62"/>
      <c r="I95" s="62"/>
      <c r="J95" s="62"/>
      <c r="K95" s="25"/>
      <c r="L95" s="62"/>
      <c r="M95" s="62"/>
      <c r="N95" s="62"/>
      <c r="O95" s="62"/>
      <c r="P95" s="25"/>
    </row>
    <row r="96" spans="1:16" ht="15.75" customHeight="1" x14ac:dyDescent="0.2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</row>
    <row r="97" spans="1:16" ht="15.75" customHeight="1" x14ac:dyDescent="0.2">
      <c r="A97" s="25"/>
      <c r="B97" s="25"/>
      <c r="C97" s="101"/>
      <c r="D97" s="62"/>
      <c r="E97" s="10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25"/>
    </row>
    <row r="98" spans="1:16" ht="15.75" customHeight="1" x14ac:dyDescent="0.2">
      <c r="A98" s="25"/>
      <c r="B98" s="25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25"/>
    </row>
    <row r="99" spans="1:16" ht="15.75" customHeight="1" x14ac:dyDescent="0.2">
      <c r="A99" s="25"/>
      <c r="B99" s="25"/>
      <c r="C99" s="25"/>
      <c r="D99" s="25"/>
      <c r="E99" s="55"/>
      <c r="F99" s="55"/>
      <c r="G99" s="55"/>
      <c r="H99" s="55"/>
      <c r="I99" s="25"/>
      <c r="J99" s="25"/>
      <c r="K99" s="25"/>
      <c r="L99" s="25"/>
      <c r="M99" s="25"/>
      <c r="N99" s="25"/>
      <c r="O99" s="25"/>
      <c r="P99" s="25"/>
    </row>
    <row r="100" spans="1:16" ht="15.75" customHeight="1" x14ac:dyDescent="0.2">
      <c r="A100" s="25"/>
      <c r="B100" s="25"/>
      <c r="C100" s="64"/>
      <c r="D100" s="62"/>
      <c r="E100" s="98"/>
      <c r="F100" s="62"/>
      <c r="G100" s="62"/>
      <c r="H100" s="62"/>
      <c r="I100" s="25"/>
      <c r="J100" s="64"/>
      <c r="K100" s="62"/>
      <c r="L100" s="99"/>
      <c r="M100" s="62"/>
      <c r="N100" s="62"/>
      <c r="O100" s="62"/>
      <c r="P100" s="25"/>
    </row>
    <row r="101" spans="1:16" ht="15.75" customHeight="1" x14ac:dyDescent="0.2">
      <c r="A101" s="25"/>
      <c r="B101" s="25"/>
      <c r="C101" s="62"/>
      <c r="D101" s="62"/>
      <c r="E101" s="62"/>
      <c r="F101" s="62"/>
      <c r="G101" s="62"/>
      <c r="H101" s="62"/>
      <c r="I101" s="25"/>
      <c r="J101" s="62"/>
      <c r="K101" s="62"/>
      <c r="L101" s="62"/>
      <c r="M101" s="62"/>
      <c r="N101" s="62"/>
      <c r="O101" s="62"/>
      <c r="P101" s="25"/>
    </row>
    <row r="102" spans="1:16" ht="15.75" customHeight="1" x14ac:dyDescent="0.2">
      <c r="A102" s="25"/>
      <c r="B102" s="25"/>
      <c r="C102" s="62"/>
      <c r="D102" s="62"/>
      <c r="E102" s="62"/>
      <c r="F102" s="62"/>
      <c r="G102" s="62"/>
      <c r="H102" s="62"/>
      <c r="I102" s="25"/>
      <c r="J102" s="62"/>
      <c r="K102" s="62"/>
      <c r="L102" s="62"/>
      <c r="M102" s="62"/>
      <c r="N102" s="62"/>
      <c r="O102" s="62"/>
      <c r="P102" s="25"/>
    </row>
    <row r="103" spans="1:16" ht="15.75" customHeight="1" x14ac:dyDescent="0.2"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</row>
    <row r="104" spans="1:16" ht="15.75" customHeight="1" x14ac:dyDescent="0.2"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</row>
    <row r="105" spans="1:16" ht="15.75" customHeight="1" x14ac:dyDescent="0.35">
      <c r="B105" s="67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</row>
    <row r="106" spans="1:16" ht="15.75" customHeight="1" x14ac:dyDescent="0.2"/>
    <row r="107" spans="1:16" ht="15.75" customHeight="1" x14ac:dyDescent="0.2"/>
    <row r="108" spans="1:16" ht="15.75" customHeight="1" x14ac:dyDescent="0.2"/>
    <row r="109" spans="1:16" ht="15.75" customHeight="1" x14ac:dyDescent="0.2"/>
    <row r="110" spans="1:16" ht="15.75" customHeight="1" x14ac:dyDescent="0.2"/>
    <row r="111" spans="1:16" ht="15.75" customHeight="1" x14ac:dyDescent="0.2"/>
    <row r="112" spans="1:1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mergeCells count="99">
    <mergeCell ref="L55:L57"/>
    <mergeCell ref="M55:O57"/>
    <mergeCell ref="E59:O60"/>
    <mergeCell ref="C55:C57"/>
    <mergeCell ref="C59:D60"/>
    <mergeCell ref="D55:E57"/>
    <mergeCell ref="G55:G57"/>
    <mergeCell ref="H55:J57"/>
    <mergeCell ref="C62:D64"/>
    <mergeCell ref="J62:K64"/>
    <mergeCell ref="L62:O64"/>
    <mergeCell ref="B67:P67"/>
    <mergeCell ref="B68:P68"/>
    <mergeCell ref="E62:H64"/>
    <mergeCell ref="E71:F71"/>
    <mergeCell ref="H71:I71"/>
    <mergeCell ref="E72:F72"/>
    <mergeCell ref="H72:I72"/>
    <mergeCell ref="E73:F73"/>
    <mergeCell ref="H73:I73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C100:D102"/>
    <mergeCell ref="E100:H102"/>
    <mergeCell ref="J100:K102"/>
    <mergeCell ref="L100:O102"/>
    <mergeCell ref="B105:P105"/>
    <mergeCell ref="B6:P6"/>
    <mergeCell ref="E9:F9"/>
    <mergeCell ref="H9:I9"/>
    <mergeCell ref="E10:F10"/>
    <mergeCell ref="H10:I10"/>
    <mergeCell ref="E12:F12"/>
    <mergeCell ref="E13:F13"/>
    <mergeCell ref="H12:I12"/>
    <mergeCell ref="H13:I13"/>
    <mergeCell ref="D15:E17"/>
    <mergeCell ref="G15:G17"/>
    <mergeCell ref="H15:J17"/>
    <mergeCell ref="L15:L17"/>
    <mergeCell ref="M15:O17"/>
    <mergeCell ref="E19:O20"/>
    <mergeCell ref="C15:C17"/>
    <mergeCell ref="C19:D20"/>
    <mergeCell ref="C22:D24"/>
    <mergeCell ref="E22:H24"/>
    <mergeCell ref="J22:K24"/>
    <mergeCell ref="L22:O24"/>
    <mergeCell ref="B27:P27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34:C36"/>
    <mergeCell ref="D34:E36"/>
    <mergeCell ref="G34:G36"/>
    <mergeCell ref="C38:D39"/>
    <mergeCell ref="C41:D43"/>
    <mergeCell ref="L41:O43"/>
    <mergeCell ref="B46:P46"/>
    <mergeCell ref="E41:H43"/>
    <mergeCell ref="E49:F49"/>
    <mergeCell ref="H49:I49"/>
    <mergeCell ref="E50:F50"/>
    <mergeCell ref="H50:I50"/>
    <mergeCell ref="E52:F52"/>
    <mergeCell ref="E53:F53"/>
    <mergeCell ref="J41:K43"/>
    <mergeCell ref="H52:I52"/>
    <mergeCell ref="H53:I53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scale="82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HU'!$B$7:$B$23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Formato descripción HU</vt:lpstr>
      <vt:lpstr>Historia de Usuario</vt:lpstr>
      <vt:lpstr>'Formato descripción HU'!Área_de_impresión</vt:lpstr>
      <vt:lpstr>'Historia de Usuario'!Área_de_impresión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Juan Socasi</cp:lastModifiedBy>
  <cp:lastPrinted>2026-05-08T18:22:56Z</cp:lastPrinted>
  <dcterms:created xsi:type="dcterms:W3CDTF">2019-10-21T15:37:14Z</dcterms:created>
  <dcterms:modified xsi:type="dcterms:W3CDTF">2026-05-13T19:15:01Z</dcterms:modified>
</cp:coreProperties>
</file>